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3A20661A-5DE4-46F6-A4B8-33DD141F7318}" xr6:coauthVersionLast="47" xr6:coauthVersionMax="47" xr10:uidLastSave="{00000000-0000-0000-0000-000000000000}"/>
  <bookViews>
    <workbookView xWindow="-108" yWindow="-108" windowWidth="23256" windowHeight="13176" xr2:uid="{844CD147-D54E-4F41-81E5-1256B6330622}"/>
  </bookViews>
  <sheets>
    <sheet name="Sheet1" sheetId="1" r:id="rId1"/>
    <sheet name="Employee_bonus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" i="2" l="1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4" i="2"/>
  <c r="K3" i="2"/>
  <c r="K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2" i="2"/>
  <c r="B60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B52" i="1"/>
  <c r="B45" i="1"/>
  <c r="B36" i="1"/>
  <c r="B22" i="1"/>
  <c r="B9" i="1"/>
  <c r="B15" i="1"/>
  <c r="B29" i="1"/>
</calcChain>
</file>

<file path=xl/sharedStrings.xml><?xml version="1.0" encoding="utf-8"?>
<sst xmlns="http://schemas.openxmlformats.org/spreadsheetml/2006/main" count="487" uniqueCount="124">
  <si>
    <t>EXCEL function VLOOKUP, HLOOKUP &amp; IF ELSE</t>
  </si>
  <si>
    <t>Emp_ID</t>
  </si>
  <si>
    <t>Name</t>
  </si>
  <si>
    <t>Department</t>
  </si>
  <si>
    <t>Score</t>
  </si>
  <si>
    <t>City</t>
  </si>
  <si>
    <t>Bonus_Eligible</t>
  </si>
  <si>
    <t>Salary</t>
  </si>
  <si>
    <t>Aarav Sharma</t>
  </si>
  <si>
    <t>Marketing</t>
  </si>
  <si>
    <t>Mumbai</t>
  </si>
  <si>
    <t>Yes</t>
  </si>
  <si>
    <t>Vivaan Mehta</t>
  </si>
  <si>
    <t>Operations</t>
  </si>
  <si>
    <t>Chennai</t>
  </si>
  <si>
    <t>No</t>
  </si>
  <si>
    <t>Aditya Nair</t>
  </si>
  <si>
    <t>Finance</t>
  </si>
  <si>
    <t>Krishna Rao</t>
  </si>
  <si>
    <t>Rohan Verma</t>
  </si>
  <si>
    <t>Ishaan Gupta</t>
  </si>
  <si>
    <t>HR</t>
  </si>
  <si>
    <t>Arjun Kulkarni</t>
  </si>
  <si>
    <t>Kabir Singh</t>
  </si>
  <si>
    <t>Bengaluru</t>
  </si>
  <si>
    <t>Atharv Joshi</t>
  </si>
  <si>
    <t>Pune</t>
  </si>
  <si>
    <t>Yuvraj Patel</t>
  </si>
  <si>
    <t>Ananya Iyer</t>
  </si>
  <si>
    <t>Diya Menon</t>
  </si>
  <si>
    <t>Aadhya Desai</t>
  </si>
  <si>
    <t>Myra Kapoor</t>
  </si>
  <si>
    <t>Saanvi Reddy</t>
  </si>
  <si>
    <t>Ira Khanna</t>
  </si>
  <si>
    <t>Meera Bansal</t>
  </si>
  <si>
    <t>Delhi</t>
  </si>
  <si>
    <t>Tara Chawla</t>
  </si>
  <si>
    <t>Riya Malhotra</t>
  </si>
  <si>
    <t>Sales</t>
  </si>
  <si>
    <t>Nisha Shah</t>
  </si>
  <si>
    <t>Siddharth Sinha</t>
  </si>
  <si>
    <t>Harsh Vardhan</t>
  </si>
  <si>
    <t>Pranav Chatterjee</t>
  </si>
  <si>
    <t>Manav Bhatt</t>
  </si>
  <si>
    <t>Dev Goel</t>
  </si>
  <si>
    <t>Kunal Saxena</t>
  </si>
  <si>
    <t>Ritvik Anand</t>
  </si>
  <si>
    <t>Shaurya Tandon</t>
  </si>
  <si>
    <t>Ayush Mittal</t>
  </si>
  <si>
    <t>Sameer Dubey</t>
  </si>
  <si>
    <t>Neha Mishra</t>
  </si>
  <si>
    <t>Pooja Agarwal</t>
  </si>
  <si>
    <t>Kavya Shetty</t>
  </si>
  <si>
    <t>Aarti Singh</t>
  </si>
  <si>
    <t>Juhi Shah</t>
  </si>
  <si>
    <t>Simran Kaur</t>
  </si>
  <si>
    <t>Tanvi Jha</t>
  </si>
  <si>
    <t>Anjali Rana</t>
  </si>
  <si>
    <t>Sneha Chakraborty</t>
  </si>
  <si>
    <t>Radhika Jain</t>
  </si>
  <si>
    <t>Rachit Ahuja</t>
  </si>
  <si>
    <t>Varun Malhotra</t>
  </si>
  <si>
    <t>Nikhil Kapoor</t>
  </si>
  <si>
    <t>Rahul Suri</t>
  </si>
  <si>
    <t>Mohit Batra</t>
  </si>
  <si>
    <t>Gaurav Khurana</t>
  </si>
  <si>
    <t>Ravi Shukla</t>
  </si>
  <si>
    <t>Amit Deshmukh</t>
  </si>
  <si>
    <t>Karan Gill</t>
  </si>
  <si>
    <t>Suresh Pillai</t>
  </si>
  <si>
    <t>VLOOKUP QUESTIONS :</t>
  </si>
  <si>
    <t>Question 1]</t>
  </si>
  <si>
    <t>Using VLOOKUP, find the Salary of “Yuvraj Patel”.</t>
  </si>
  <si>
    <t xml:space="preserve">Answer] </t>
  </si>
  <si>
    <t xml:space="preserve">Question 2] </t>
  </si>
  <si>
    <t>Using VLOOKUP, return the Department of Emp_ID = 1031.</t>
  </si>
  <si>
    <t>Formula used:</t>
  </si>
  <si>
    <t>"=VLOOKUP(lookup_value, table_array, Col_index, FALSE)"</t>
  </si>
  <si>
    <r>
      <t xml:space="preserve">ie. The salary of Yuvraj Patel is </t>
    </r>
    <r>
      <rPr>
        <b/>
        <sz val="11"/>
        <color theme="1"/>
        <rFont val="Calibri"/>
        <family val="2"/>
        <scheme val="minor"/>
      </rPr>
      <t>Rs. 87003.</t>
    </r>
  </si>
  <si>
    <r>
      <t xml:space="preserve">ie. The department of emp_id = 1031 is </t>
    </r>
    <r>
      <rPr>
        <b/>
        <sz val="11"/>
        <color theme="1"/>
        <rFont val="Calibri"/>
        <family val="2"/>
        <scheme val="minor"/>
      </rPr>
      <t xml:space="preserve">Finance. </t>
    </r>
  </si>
  <si>
    <t>"=VLOOKUP(lookup_value, table_array, col_index, FALSE)"</t>
  </si>
  <si>
    <t xml:space="preserve">Question 3] </t>
  </si>
  <si>
    <t>Use VLOOKUP to find the City of “Sneha Chakraborty”.</t>
  </si>
  <si>
    <r>
      <t>ie. Sneha Chakraborty lives in</t>
    </r>
    <r>
      <rPr>
        <b/>
        <sz val="11"/>
        <color theme="1"/>
        <rFont val="Calibri"/>
        <family val="2"/>
        <scheme val="minor"/>
      </rPr>
      <t xml:space="preserve"> Delhi.</t>
    </r>
  </si>
  <si>
    <t xml:space="preserve">Question 4] </t>
  </si>
  <si>
    <t>Using VLOOKUP, fetch the Score for Emp_ID = 1050.</t>
  </si>
  <si>
    <r>
      <t>ie. The score emp_id = 1050 scored is</t>
    </r>
    <r>
      <rPr>
        <b/>
        <sz val="11"/>
        <color theme="1"/>
        <rFont val="Calibri"/>
        <family val="2"/>
        <scheme val="minor"/>
      </rPr>
      <t xml:space="preserve"> 84.</t>
    </r>
  </si>
  <si>
    <t xml:space="preserve">Question 5] </t>
  </si>
  <si>
    <t>VLOOKUP: Find the Bonus_Eligible status of “Tara Chawla”.</t>
  </si>
  <si>
    <r>
      <t>ie. Tara is</t>
    </r>
    <r>
      <rPr>
        <b/>
        <sz val="11"/>
        <color theme="1"/>
        <rFont val="Calibri"/>
        <family val="2"/>
        <scheme val="minor"/>
      </rPr>
      <t xml:space="preserve"> not eligible.</t>
    </r>
  </si>
  <si>
    <t>HLOOKUP QUESTIONS :</t>
  </si>
  <si>
    <t xml:space="preserve">Question 6] </t>
  </si>
  <si>
    <t>Convert the dataset horizontally and use HLOOKUP to return the Salary of Emp_ID = 1020.</t>
  </si>
  <si>
    <t>ie. The salary of emp_id = 1020 is 71717.</t>
  </si>
  <si>
    <t>"=HLOOKUP(lookup_value, table_array, row_index, FALSE)"</t>
  </si>
  <si>
    <t xml:space="preserve">Question 7] </t>
  </si>
  <si>
    <t>Using HLOOKUP, retrieve the Department value for Emp_ID = 1044.</t>
  </si>
  <si>
    <t>Answer]</t>
  </si>
  <si>
    <r>
      <t>emp_ID 1044 is not available in the given dataset (</t>
    </r>
    <r>
      <rPr>
        <sz val="10"/>
        <color theme="1"/>
        <rFont val="Arial Unicode MS"/>
      </rPr>
      <t>Employee_bonus.csv</t>
    </r>
    <r>
      <rPr>
        <sz val="11"/>
        <color theme="1"/>
        <rFont val="Calibri"/>
        <family val="2"/>
        <scheme val="minor"/>
      </rPr>
      <t xml:space="preserve">), therefore HLOOKUP correctly returns </t>
    </r>
    <r>
      <rPr>
        <b/>
        <sz val="11"/>
        <color theme="1"/>
        <rFont val="Calibri"/>
        <family val="2"/>
        <scheme val="minor"/>
      </rPr>
      <t>#N/A</t>
    </r>
    <r>
      <rPr>
        <sz val="11"/>
        <color theme="1"/>
        <rFont val="Calibri"/>
        <family val="2"/>
        <scheme val="minor"/>
      </rPr>
      <t>.</t>
    </r>
  </si>
  <si>
    <t>IF QUESTIONS :</t>
  </si>
  <si>
    <t xml:space="preserve">Question 8] </t>
  </si>
  <si>
    <t>IF for Salary Category: If Salary ≥ 70,000 → “High Salary” Else → “Regular Salary”.</t>
  </si>
  <si>
    <t>IF + AND QUESTIONS :</t>
  </si>
  <si>
    <t xml:space="preserve">Question 9] </t>
  </si>
  <si>
    <t>Rating: Score ≥ 85 and Salary ≥ 60,000 Else return “Average Performer”.</t>
  </si>
  <si>
    <t>example preview:</t>
  </si>
  <si>
    <t>Performance Category</t>
  </si>
  <si>
    <t>Salary Category</t>
  </si>
  <si>
    <t>Performer Category</t>
  </si>
  <si>
    <t xml:space="preserve">Question 10] Create a formula that returns a combined designation based on each employee's city and department: Using the dataset (City in column D, Department in column B), create an Excel formula that produces results  </t>
  </si>
  <si>
    <t xml:space="preserve">in the format: Mumbai Marketing Staff, Delhi Finance Staff, Bengaluru HR Staff, Chennai Operations Staff, Pune Sales Staff. </t>
  </si>
  <si>
    <t>The formula must automatically generate the correct designation for every city and every department without using multiple IF statements..</t>
  </si>
  <si>
    <t>Designation</t>
  </si>
  <si>
    <t>"=City column &amp; " " &amp; Department Column &amp; " Staff"</t>
  </si>
  <si>
    <t>Formula:</t>
  </si>
  <si>
    <t>IF + OR QUESTIONS :</t>
  </si>
  <si>
    <t xml:space="preserve">Question 11] </t>
  </si>
  <si>
    <t>Create a formula that returns an employee’s zone-based designation: North Zone, South Zone, West Zone, East Zone.</t>
  </si>
  <si>
    <t>City-to-zone mapping: Mumbai, Pune → West Zone, Delhi → North Zone, Chennai,Bengaluru → South Zone.</t>
  </si>
  <si>
    <t>Write the formula that generates the text: “&lt;Zone&gt; – &lt;Department&gt;”.</t>
  </si>
  <si>
    <t>Zone_based Designation</t>
  </si>
  <si>
    <t>Emp_id</t>
  </si>
  <si>
    <t>"=IF(OR((City_column="Mumbai",City_col="Pune"),"West Zone", IF(city_col="Delhi","North Zone",  IF(OR(city_col="Chennai",city_col="Bengaluru"),"South Zone","East Zone")))  &amp; " – " &amp; Dept_col"</t>
  </si>
  <si>
    <t>Name: Harshita Pandey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</si>
</sst>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4"/>
      <color theme="1"/>
      <name val="Times New Roman"/>
      <family val="1"/>
    </font>
    <font>
      <b/>
      <i/>
      <u/>
      <sz val="16"/>
      <color theme="1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3" borderId="0" xfId="0" applyFill="1"/>
    <xf numFmtId="0" fontId="0" fillId="0" borderId="0" xfId="0" applyFont="1"/>
    <xf numFmtId="0" fontId="0" fillId="0" borderId="0" xfId="0" applyAlignment="1">
      <alignment wrapText="1"/>
    </xf>
    <xf numFmtId="0" fontId="2" fillId="0" borderId="0" xfId="0" applyFont="1" applyFill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5785BA-CEF0-48CF-BA10-5B7F5B632A83}" name="Table1" displayName="Table1" ref="D68:F83" totalsRowShown="0">
  <autoFilter ref="D68:F83" xr:uid="{CE5785BA-CEF0-48CF-BA10-5B7F5B632A83}"/>
  <tableColumns count="3">
    <tableColumn id="1" xr3:uid="{CFD1F7EA-D43D-4CCB-9C2F-5B660E1ADB4E}" name="Score"/>
    <tableColumn id="2" xr3:uid="{FA803253-4D9E-47A0-BBD4-AB0C0FDD6F43}" name="Salary"/>
    <tableColumn id="3" xr3:uid="{CAFB9FCA-469A-47BC-B571-08EEA4E6F860}" name="Performance Category" dataDxfId="0">
      <calculatedColumnFormula>IF(AND(Table1[[#This Row],[Score]]&gt;=85, Table1[[#This Row],[Salary]]&gt;=60000), "Top Performer", "Average Performer")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2008EE0-3AFE-419B-AE7F-1D152551C5F2}" name="Table2" displayName="Table2" ref="A1:K51" totalsRowShown="0">
  <autoFilter ref="A1:K51" xr:uid="{32008EE0-3AFE-419B-AE7F-1D152551C5F2}"/>
  <tableColumns count="11">
    <tableColumn id="1" xr3:uid="{B041BD9D-4117-40FF-BB43-A329C5049C53}" name="Emp_id"/>
    <tableColumn id="2" xr3:uid="{D02C7CB1-5BDD-4B4F-BFD5-8EA5CC0C1C98}" name="Name"/>
    <tableColumn id="3" xr3:uid="{AEE36AA8-8999-4442-89A4-C983AF662303}" name="Department"/>
    <tableColumn id="4" xr3:uid="{A9ED9EE9-06FE-4A05-A178-F0B9FEF40A23}" name="Score"/>
    <tableColumn id="5" xr3:uid="{B0CF9897-0E2A-47C4-B82F-1F103F815FFC}" name="City"/>
    <tableColumn id="6" xr3:uid="{CC1991F0-BC8B-48A6-9D27-71D79D59A878}" name="Bonus_Eligible"/>
    <tableColumn id="7" xr3:uid="{E159B9C3-35F8-4BBE-9450-16BF2594BB33}" name="Salary"/>
    <tableColumn id="8" xr3:uid="{C07214D3-9DEA-4CF4-B950-C404A8F27540}" name="Salary Category">
      <calculatedColumnFormula>IF(G2&gt;=70000, "High Salary", "Regular Salary")</calculatedColumnFormula>
    </tableColumn>
    <tableColumn id="9" xr3:uid="{AFDDB95F-18DC-49B5-B8E3-87370799033A}" name="Performer Category">
      <calculatedColumnFormula>IF(AND(D2&gt;=85, G2&gt;=60000), "Top Performer", "Average Performer")</calculatedColumnFormula>
    </tableColumn>
    <tableColumn id="10" xr3:uid="{DAACB454-DBE8-4BAB-9855-011D410BF947}" name="Designation">
      <calculatedColumnFormula>E2 &amp; " " &amp; C2 &amp; " Staff"</calculatedColumnFormula>
    </tableColumn>
    <tableColumn id="11" xr3:uid="{6ADF21DE-A6A1-43EC-81F7-8053CB3CD803}" name="Zone_based Designation">
      <calculatedColumnFormula>IF(OR(E2="Mumbai",E2="Pune"),"West Zone", IF(E2="Delhi","North Zone",  IF(OR(E2="Chennai",E2="Bengaluru"),"South Zone","East Zone"))) &amp; " – " &amp; C2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DC8CB-EAB0-48AB-8A67-5DBD40DDF8FC}">
  <dimension ref="A2:S101"/>
  <sheetViews>
    <sheetView tabSelected="1" zoomScale="98" zoomScaleNormal="98" workbookViewId="0">
      <selection activeCell="D3" sqref="D3"/>
    </sheetView>
  </sheetViews>
  <sheetFormatPr defaultRowHeight="14.4"/>
  <cols>
    <col min="1" max="1" width="12.33203125" customWidth="1"/>
    <col min="2" max="2" width="9.6640625" customWidth="1"/>
    <col min="6" max="6" width="17.6640625" customWidth="1"/>
  </cols>
  <sheetData>
    <row r="2" spans="1:17" ht="30.6">
      <c r="G2" s="1" t="s">
        <v>0</v>
      </c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30.6">
      <c r="A3" s="2" t="s">
        <v>123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</row>
    <row r="5" spans="1:17" ht="21">
      <c r="A5" s="3" t="s">
        <v>70</v>
      </c>
      <c r="B5" s="3"/>
      <c r="C5" s="3"/>
      <c r="D5" s="4"/>
    </row>
    <row r="7" spans="1:17" ht="15.6">
      <c r="A7" s="5" t="s">
        <v>71</v>
      </c>
      <c r="B7" s="5" t="s">
        <v>72</v>
      </c>
    </row>
    <row r="9" spans="1:17">
      <c r="A9" s="2" t="s">
        <v>73</v>
      </c>
      <c r="B9" s="6">
        <f>VLOOKUP("Yuvraj Patel", Employee_bonus!$B$2:$G$51, 6, FALSE)</f>
        <v>87003</v>
      </c>
      <c r="D9" s="7" t="s">
        <v>78</v>
      </c>
      <c r="E9" s="7"/>
      <c r="F9" s="7"/>
      <c r="G9" s="7"/>
    </row>
    <row r="10" spans="1:17">
      <c r="D10" t="s">
        <v>76</v>
      </c>
      <c r="F10" s="6" t="s">
        <v>77</v>
      </c>
      <c r="G10" s="6"/>
      <c r="H10" s="6"/>
      <c r="I10" s="6"/>
      <c r="J10" s="6"/>
      <c r="K10" s="6"/>
    </row>
    <row r="13" spans="1:17" ht="15.6">
      <c r="A13" s="5" t="s">
        <v>74</v>
      </c>
      <c r="B13" s="5" t="s">
        <v>75</v>
      </c>
    </row>
    <row r="15" spans="1:17">
      <c r="A15" s="2" t="s">
        <v>73</v>
      </c>
      <c r="B15" s="6" t="str">
        <f>VLOOKUP(1031, Employee_bonus!$A$1:$C$51, 3, FALSE)</f>
        <v>Finance</v>
      </c>
      <c r="D15" t="s">
        <v>79</v>
      </c>
    </row>
    <row r="16" spans="1:17">
      <c r="D16" t="s">
        <v>76</v>
      </c>
      <c r="F16" s="6" t="s">
        <v>80</v>
      </c>
      <c r="G16" s="6"/>
      <c r="H16" s="6"/>
      <c r="I16" s="6"/>
      <c r="J16" s="6"/>
      <c r="K16" s="6"/>
    </row>
    <row r="20" spans="1:11" ht="15.6">
      <c r="A20" s="5" t="s">
        <v>81</v>
      </c>
      <c r="B20" s="5" t="s">
        <v>82</v>
      </c>
    </row>
    <row r="22" spans="1:11">
      <c r="A22" s="2" t="s">
        <v>73</v>
      </c>
      <c r="B22" s="6" t="str">
        <f>VLOOKUP("Sneha Chakraborty", Employee_bonus!$B$1:$E$51, 4, FALSE)</f>
        <v>Delhi</v>
      </c>
      <c r="D22" t="s">
        <v>83</v>
      </c>
    </row>
    <row r="23" spans="1:11">
      <c r="D23" t="s">
        <v>76</v>
      </c>
      <c r="F23" s="6" t="s">
        <v>80</v>
      </c>
      <c r="G23" s="6"/>
      <c r="H23" s="6"/>
      <c r="I23" s="6"/>
      <c r="J23" s="6"/>
      <c r="K23" s="6"/>
    </row>
    <row r="27" spans="1:11" ht="15.6">
      <c r="A27" s="5" t="s">
        <v>84</v>
      </c>
      <c r="B27" s="5" t="s">
        <v>85</v>
      </c>
    </row>
    <row r="29" spans="1:11">
      <c r="A29" s="2" t="s">
        <v>73</v>
      </c>
      <c r="B29" s="6">
        <f>VLOOKUP(1050, Employee_bonus!$A$1:$D$51, 4, FALSE)</f>
        <v>84</v>
      </c>
      <c r="D29" t="s">
        <v>86</v>
      </c>
    </row>
    <row r="30" spans="1:11">
      <c r="D30" t="s">
        <v>76</v>
      </c>
      <c r="F30" s="6" t="s">
        <v>80</v>
      </c>
      <c r="G30" s="6"/>
      <c r="H30" s="6"/>
      <c r="I30" s="6"/>
      <c r="J30" s="6"/>
      <c r="K30" s="6"/>
    </row>
    <row r="34" spans="1:11" ht="15.6">
      <c r="A34" s="5" t="s">
        <v>87</v>
      </c>
      <c r="B34" s="5" t="s">
        <v>88</v>
      </c>
    </row>
    <row r="36" spans="1:11">
      <c r="A36" s="2" t="s">
        <v>73</v>
      </c>
      <c r="B36" s="6" t="str">
        <f>VLOOKUP("Tara Chawla", Employee_bonus!$B$1:$F$51, 5, FALSE)</f>
        <v>No</v>
      </c>
      <c r="D36" t="s">
        <v>89</v>
      </c>
    </row>
    <row r="37" spans="1:11">
      <c r="D37" t="s">
        <v>76</v>
      </c>
      <c r="F37" s="6" t="s">
        <v>80</v>
      </c>
      <c r="G37" s="6"/>
      <c r="H37" s="6"/>
      <c r="I37" s="6"/>
      <c r="J37" s="6"/>
      <c r="K37" s="6"/>
    </row>
    <row r="41" spans="1:11" ht="21">
      <c r="A41" s="3" t="s">
        <v>90</v>
      </c>
    </row>
    <row r="43" spans="1:11" ht="15.6">
      <c r="A43" s="5" t="s">
        <v>91</v>
      </c>
      <c r="B43" s="5" t="s">
        <v>92</v>
      </c>
    </row>
    <row r="45" spans="1:11">
      <c r="A45" s="2" t="s">
        <v>73</v>
      </c>
      <c r="B45" s="6">
        <f>HLOOKUP(1020, Sheet3!A1:AC7, 7, FALSE)</f>
        <v>71717</v>
      </c>
      <c r="D45" t="s">
        <v>93</v>
      </c>
    </row>
    <row r="46" spans="1:11">
      <c r="D46" t="s">
        <v>76</v>
      </c>
      <c r="F46" s="6" t="s">
        <v>94</v>
      </c>
      <c r="G46" s="6"/>
      <c r="H46" s="6"/>
      <c r="I46" s="6"/>
      <c r="J46" s="6"/>
      <c r="K46" s="6"/>
    </row>
    <row r="50" spans="1:4" ht="15.6">
      <c r="A50" s="5" t="s">
        <v>95</v>
      </c>
      <c r="B50" s="5" t="s">
        <v>96</v>
      </c>
    </row>
    <row r="52" spans="1:4">
      <c r="A52" s="2" t="s">
        <v>97</v>
      </c>
      <c r="B52" s="6" t="e">
        <f>HLOOKUP(1044, Sheet3!A1:AC7, 3, FALSE)</f>
        <v>#N/A</v>
      </c>
      <c r="D52" t="s">
        <v>98</v>
      </c>
    </row>
    <row r="56" spans="1:4" ht="21">
      <c r="A56" s="3" t="s">
        <v>99</v>
      </c>
    </row>
    <row r="58" spans="1:4" ht="15.6">
      <c r="A58" s="5" t="s">
        <v>100</v>
      </c>
      <c r="B58" s="5" t="s">
        <v>101</v>
      </c>
    </row>
    <row r="60" spans="1:4">
      <c r="A60" s="2" t="s">
        <v>97</v>
      </c>
      <c r="B60" s="6" t="str">
        <f>IF(Employee_bonus!G2&gt;=70000,"High Salary", "Regular Salary")</f>
        <v>Regular Salary</v>
      </c>
      <c r="C60" s="6"/>
    </row>
    <row r="64" spans="1:4" ht="21">
      <c r="A64" s="3" t="s">
        <v>102</v>
      </c>
    </row>
    <row r="66" spans="1:6" ht="15.6">
      <c r="A66" s="5" t="s">
        <v>103</v>
      </c>
      <c r="B66" s="5" t="s">
        <v>104</v>
      </c>
    </row>
    <row r="68" spans="1:6">
      <c r="A68" s="2" t="s">
        <v>73</v>
      </c>
      <c r="B68" t="s">
        <v>105</v>
      </c>
      <c r="D68" t="s">
        <v>4</v>
      </c>
      <c r="E68" t="s">
        <v>7</v>
      </c>
      <c r="F68" t="s">
        <v>106</v>
      </c>
    </row>
    <row r="69" spans="1:6">
      <c r="D69">
        <v>67</v>
      </c>
      <c r="E69">
        <v>38545</v>
      </c>
      <c r="F69" t="str">
        <f>IF(AND(Table1[[#This Row],[Score]]&gt;=85, Table1[[#This Row],[Salary]]&gt;=60000), "Top Performer", "Average Performer")</f>
        <v>Average Performer</v>
      </c>
    </row>
    <row r="70" spans="1:6">
      <c r="D70">
        <v>86</v>
      </c>
      <c r="E70">
        <v>91199</v>
      </c>
      <c r="F70" t="str">
        <f>IF(AND(Table1[[#This Row],[Score]]&gt;=85, Table1[[#This Row],[Salary]]&gt;=60000), "Top Performer", "Average Performer")</f>
        <v>Top Performer</v>
      </c>
    </row>
    <row r="71" spans="1:6">
      <c r="D71">
        <v>99</v>
      </c>
      <c r="E71">
        <v>59766</v>
      </c>
      <c r="F71" t="str">
        <f>IF(AND(Table1[[#This Row],[Score]]&gt;=85, Table1[[#This Row],[Salary]]&gt;=60000), "Top Performer", "Average Performer")</f>
        <v>Average Performer</v>
      </c>
    </row>
    <row r="72" spans="1:6">
      <c r="D72">
        <v>46</v>
      </c>
      <c r="E72">
        <v>86087</v>
      </c>
      <c r="F72" t="str">
        <f>IF(AND(Table1[[#This Row],[Score]]&gt;=85, Table1[[#This Row],[Salary]]&gt;=60000), "Top Performer", "Average Performer")</f>
        <v>Average Performer</v>
      </c>
    </row>
    <row r="73" spans="1:6">
      <c r="D73">
        <v>83</v>
      </c>
      <c r="E73">
        <v>93840</v>
      </c>
      <c r="F73" t="str">
        <f>IF(AND(Table1[[#This Row],[Score]]&gt;=85, Table1[[#This Row],[Salary]]&gt;=60000), "Top Performer", "Average Performer")</f>
        <v>Average Performer</v>
      </c>
    </row>
    <row r="74" spans="1:6">
      <c r="D74">
        <v>47</v>
      </c>
      <c r="E74">
        <v>79384</v>
      </c>
      <c r="F74" t="str">
        <f>IF(AND(Table1[[#This Row],[Score]]&gt;=85, Table1[[#This Row],[Salary]]&gt;=60000), "Top Performer", "Average Performer")</f>
        <v>Average Performer</v>
      </c>
    </row>
    <row r="75" spans="1:6">
      <c r="D75">
        <v>86</v>
      </c>
      <c r="E75">
        <v>76005</v>
      </c>
      <c r="F75" t="str">
        <f>IF(AND(Table1[[#This Row],[Score]]&gt;=85, Table1[[#This Row],[Salary]]&gt;=60000), "Top Performer", "Average Performer")</f>
        <v>Top Performer</v>
      </c>
    </row>
    <row r="76" spans="1:6">
      <c r="D76">
        <v>74</v>
      </c>
      <c r="E76">
        <v>71576</v>
      </c>
      <c r="F76" t="str">
        <f>IF(AND(Table1[[#This Row],[Score]]&gt;=85, Table1[[#This Row],[Salary]]&gt;=60000), "Top Performer", "Average Performer")</f>
        <v>Average Performer</v>
      </c>
    </row>
    <row r="77" spans="1:6">
      <c r="D77">
        <v>53</v>
      </c>
      <c r="E77">
        <v>64353</v>
      </c>
      <c r="F77" t="str">
        <f>IF(AND(Table1[[#This Row],[Score]]&gt;=85, Table1[[#This Row],[Salary]]&gt;=60000), "Top Performer", "Average Performer")</f>
        <v>Average Performer</v>
      </c>
    </row>
    <row r="78" spans="1:6">
      <c r="D78">
        <v>56</v>
      </c>
      <c r="E78">
        <v>87003</v>
      </c>
      <c r="F78" t="str">
        <f>IF(AND(Table1[[#This Row],[Score]]&gt;=85, Table1[[#This Row],[Salary]]&gt;=60000), "Top Performer", "Average Performer")</f>
        <v>Average Performer</v>
      </c>
    </row>
    <row r="79" spans="1:6">
      <c r="D79">
        <v>75</v>
      </c>
      <c r="E79">
        <v>77733</v>
      </c>
      <c r="F79" t="str">
        <f>IF(AND(Table1[[#This Row],[Score]]&gt;=85, Table1[[#This Row],[Salary]]&gt;=60000), "Top Performer", "Average Performer")</f>
        <v>Average Performer</v>
      </c>
    </row>
    <row r="80" spans="1:6">
      <c r="D80">
        <v>89</v>
      </c>
      <c r="E80">
        <v>90318</v>
      </c>
      <c r="F80" t="str">
        <f>IF(AND(Table1[[#This Row],[Score]]&gt;=85, Table1[[#This Row],[Salary]]&gt;=60000), "Top Performer", "Average Performer")</f>
        <v>Top Performer</v>
      </c>
    </row>
    <row r="81" spans="1:13">
      <c r="D81">
        <v>79</v>
      </c>
      <c r="E81">
        <v>48664</v>
      </c>
      <c r="F81" t="str">
        <f>IF(AND(Table1[[#This Row],[Score]]&gt;=85, Table1[[#This Row],[Salary]]&gt;=60000), "Top Performer", "Average Performer")</f>
        <v>Average Performer</v>
      </c>
    </row>
    <row r="82" spans="1:13">
      <c r="D82">
        <v>43</v>
      </c>
      <c r="E82">
        <v>92172</v>
      </c>
      <c r="F82" t="str">
        <f>IF(AND(Table1[[#This Row],[Score]]&gt;=85, Table1[[#This Row],[Salary]]&gt;=60000), "Top Performer", "Average Performer")</f>
        <v>Average Performer</v>
      </c>
    </row>
    <row r="83" spans="1:13">
      <c r="D83">
        <v>41</v>
      </c>
      <c r="E83">
        <v>51736</v>
      </c>
      <c r="F83" t="str">
        <f>IF(AND(Table1[[#This Row],[Score]]&gt;=85, Table1[[#This Row],[Salary]]&gt;=60000), "Top Performer", "Average Performer")</f>
        <v>Average Performer</v>
      </c>
    </row>
    <row r="87" spans="1:13" ht="15.6">
      <c r="A87" s="5" t="s">
        <v>109</v>
      </c>
      <c r="B87" s="8"/>
    </row>
    <row r="88" spans="1:13" ht="15.6">
      <c r="B88" s="5" t="s">
        <v>110</v>
      </c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3" ht="15.6">
      <c r="B89" s="5" t="s">
        <v>111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</row>
    <row r="91" spans="1:13">
      <c r="A91" s="2" t="s">
        <v>73</v>
      </c>
      <c r="B91" t="s">
        <v>114</v>
      </c>
      <c r="C91" s="6" t="s">
        <v>113</v>
      </c>
      <c r="D91" s="6"/>
      <c r="E91" s="6"/>
      <c r="F91" s="6"/>
    </row>
    <row r="95" spans="1:13" ht="21">
      <c r="A95" s="3" t="s">
        <v>115</v>
      </c>
    </row>
    <row r="97" spans="1:19" ht="15.6">
      <c r="A97" s="5" t="s">
        <v>116</v>
      </c>
      <c r="B97" s="5" t="s">
        <v>117</v>
      </c>
      <c r="C97" s="5"/>
      <c r="D97" s="5"/>
      <c r="E97" s="5"/>
      <c r="F97" s="5"/>
      <c r="G97" s="5"/>
      <c r="H97" s="5"/>
      <c r="I97" s="5"/>
      <c r="J97" s="5"/>
      <c r="K97" s="5"/>
    </row>
    <row r="98" spans="1:19" ht="15.6">
      <c r="B98" s="5" t="s">
        <v>118</v>
      </c>
      <c r="C98" s="5"/>
      <c r="D98" s="5"/>
      <c r="E98" s="5"/>
      <c r="F98" s="5"/>
      <c r="G98" s="5"/>
      <c r="H98" s="5"/>
      <c r="I98" s="5"/>
      <c r="J98" s="5"/>
    </row>
    <row r="99" spans="1:19">
      <c r="B99" s="2" t="s">
        <v>119</v>
      </c>
      <c r="C99" s="2"/>
      <c r="D99" s="2"/>
      <c r="E99" s="2"/>
      <c r="F99" s="2"/>
      <c r="G99" s="2"/>
    </row>
    <row r="101" spans="1:19">
      <c r="A101" s="2" t="s">
        <v>73</v>
      </c>
      <c r="B101" s="6" t="s">
        <v>122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851AD-876C-4E75-87C2-F8791E6203C2}">
  <dimension ref="A1:K51"/>
  <sheetViews>
    <sheetView zoomScale="98" workbookViewId="0">
      <pane ySplit="1" topLeftCell="A2" activePane="bottomLeft" state="frozen"/>
      <selection pane="bottomLeft" activeCell="L9" sqref="L9"/>
    </sheetView>
  </sheetViews>
  <sheetFormatPr defaultRowHeight="14.4"/>
  <cols>
    <col min="1" max="1" width="16.88671875" customWidth="1"/>
    <col min="2" max="3" width="15.33203125" customWidth="1"/>
    <col min="4" max="4" width="13.33203125" customWidth="1"/>
    <col min="5" max="5" width="15.109375" customWidth="1"/>
    <col min="6" max="6" width="15" customWidth="1"/>
    <col min="7" max="7" width="15.77734375" customWidth="1"/>
    <col min="8" max="8" width="16" customWidth="1"/>
    <col min="9" max="9" width="19.44140625" customWidth="1"/>
    <col min="10" max="10" width="23.6640625" customWidth="1"/>
    <col min="11" max="11" width="26.6640625" customWidth="1"/>
  </cols>
  <sheetData>
    <row r="1" spans="1:11">
      <c r="A1" t="s">
        <v>121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107</v>
      </c>
      <c r="I1" t="s">
        <v>108</v>
      </c>
      <c r="J1" t="s">
        <v>112</v>
      </c>
      <c r="K1" t="s">
        <v>120</v>
      </c>
    </row>
    <row r="2" spans="1:11">
      <c r="A2">
        <v>1001</v>
      </c>
      <c r="B2" t="s">
        <v>8</v>
      </c>
      <c r="C2" t="s">
        <v>9</v>
      </c>
      <c r="D2">
        <v>67</v>
      </c>
      <c r="E2" t="s">
        <v>10</v>
      </c>
      <c r="F2" t="s">
        <v>11</v>
      </c>
      <c r="G2">
        <v>38545</v>
      </c>
      <c r="H2" t="str">
        <f>IF(G2&gt;=70000, "High Salary", "Regular Salary")</f>
        <v>Regular Salary</v>
      </c>
      <c r="I2" t="str">
        <f>IF(AND(D2&gt;=85, G2&gt;=60000), "Top Performer", "Average Performer")</f>
        <v>Average Performer</v>
      </c>
      <c r="J2" t="str">
        <f>E2 &amp; " " &amp; C2 &amp; " Staff"</f>
        <v>Mumbai Marketing Staff</v>
      </c>
      <c r="K2" t="str">
        <f>IF(OR(E2="Mumbai",E2="Pune"),"West Zone", IF(E2="Delhi","North Zone",  IF(OR(E2="Chennai",E2="Bengaluru"),"South Zone","East Zone"))) &amp; " – " &amp; C2</f>
        <v>West Zone – Marketing</v>
      </c>
    </row>
    <row r="3" spans="1:11">
      <c r="A3">
        <v>1002</v>
      </c>
      <c r="B3" t="s">
        <v>12</v>
      </c>
      <c r="C3" t="s">
        <v>13</v>
      </c>
      <c r="D3">
        <v>86</v>
      </c>
      <c r="E3" t="s">
        <v>14</v>
      </c>
      <c r="F3" t="s">
        <v>15</v>
      </c>
      <c r="G3">
        <v>91199</v>
      </c>
      <c r="H3" t="str">
        <f t="shared" ref="H3:H51" si="0">IF(G3&gt;=70000, "High Salary", "Regular Salary")</f>
        <v>High Salary</v>
      </c>
      <c r="I3" t="str">
        <f t="shared" ref="I3:I51" si="1">IF(AND(D3&gt;=85, G3&gt;=60000), "Top Performer", "Average Performer")</f>
        <v>Top Performer</v>
      </c>
      <c r="J3" t="str">
        <f t="shared" ref="J3:J51" si="2">E3 &amp; " " &amp; C3 &amp; " Staff"</f>
        <v>Chennai Operations Staff</v>
      </c>
      <c r="K3" t="str">
        <f>IF(OR(E3="Mumbai",E3="Pune"),"West Zone", IF(E3="Delhi","North Zone",  IF(OR(E3="Chennai",E3="Bengaluru"),"South Zone","East Zone"))) &amp; " – " &amp; C3</f>
        <v>South Zone – Operations</v>
      </c>
    </row>
    <row r="4" spans="1:11">
      <c r="A4">
        <v>1003</v>
      </c>
      <c r="B4" t="s">
        <v>16</v>
      </c>
      <c r="C4" t="s">
        <v>17</v>
      </c>
      <c r="D4">
        <v>99</v>
      </c>
      <c r="E4" t="s">
        <v>14</v>
      </c>
      <c r="F4" t="s">
        <v>11</v>
      </c>
      <c r="G4">
        <v>59766</v>
      </c>
      <c r="H4" t="str">
        <f t="shared" si="0"/>
        <v>Regular Salary</v>
      </c>
      <c r="I4" t="str">
        <f t="shared" si="1"/>
        <v>Average Performer</v>
      </c>
      <c r="J4" t="str">
        <f t="shared" si="2"/>
        <v>Chennai Finance Staff</v>
      </c>
      <c r="K4" t="str">
        <f>IF(OR(E4="Mumbai",E4="Pune"),"West Zone", IF(E4="Delhi","North Zone",  IF(OR(E4="Chennai",E4="Bengaluru"),"South Zone","East Zone"))) &amp; " – " &amp; C4</f>
        <v>South Zone – Finance</v>
      </c>
    </row>
    <row r="5" spans="1:11">
      <c r="A5">
        <v>1004</v>
      </c>
      <c r="B5" t="s">
        <v>18</v>
      </c>
      <c r="C5" t="s">
        <v>13</v>
      </c>
      <c r="D5">
        <v>46</v>
      </c>
      <c r="E5" t="s">
        <v>10</v>
      </c>
      <c r="F5" t="s">
        <v>15</v>
      </c>
      <c r="G5">
        <v>86087</v>
      </c>
      <c r="H5" t="str">
        <f t="shared" si="0"/>
        <v>High Salary</v>
      </c>
      <c r="I5" t="str">
        <f t="shared" si="1"/>
        <v>Average Performer</v>
      </c>
      <c r="J5" t="str">
        <f t="shared" si="2"/>
        <v>Mumbai Operations Staff</v>
      </c>
      <c r="K5" t="str">
        <f t="shared" ref="K5:K51" si="3">IF(OR(E5="Mumbai",E5="Pune"),"West Zone", IF(E5="Delhi","North Zone",  IF(OR(E5="Chennai",E5="Bengaluru"),"South Zone","East Zone"))) &amp; " – " &amp; C5</f>
        <v>West Zone – Operations</v>
      </c>
    </row>
    <row r="6" spans="1:11">
      <c r="A6">
        <v>1005</v>
      </c>
      <c r="B6" t="s">
        <v>19</v>
      </c>
      <c r="C6" t="s">
        <v>13</v>
      </c>
      <c r="D6">
        <v>83</v>
      </c>
      <c r="E6" t="s">
        <v>10</v>
      </c>
      <c r="F6" t="s">
        <v>11</v>
      </c>
      <c r="G6">
        <v>93840</v>
      </c>
      <c r="H6" t="str">
        <f t="shared" si="0"/>
        <v>High Salary</v>
      </c>
      <c r="I6" t="str">
        <f t="shared" si="1"/>
        <v>Average Performer</v>
      </c>
      <c r="J6" t="str">
        <f t="shared" si="2"/>
        <v>Mumbai Operations Staff</v>
      </c>
      <c r="K6" t="str">
        <f t="shared" si="3"/>
        <v>West Zone – Operations</v>
      </c>
    </row>
    <row r="7" spans="1:11">
      <c r="A7">
        <v>1006</v>
      </c>
      <c r="B7" t="s">
        <v>20</v>
      </c>
      <c r="C7" t="s">
        <v>21</v>
      </c>
      <c r="D7">
        <v>47</v>
      </c>
      <c r="E7" t="s">
        <v>10</v>
      </c>
      <c r="F7" t="s">
        <v>11</v>
      </c>
      <c r="G7">
        <v>79384</v>
      </c>
      <c r="H7" t="str">
        <f t="shared" si="0"/>
        <v>High Salary</v>
      </c>
      <c r="I7" t="str">
        <f t="shared" si="1"/>
        <v>Average Performer</v>
      </c>
      <c r="J7" t="str">
        <f t="shared" si="2"/>
        <v>Mumbai HR Staff</v>
      </c>
      <c r="K7" t="str">
        <f t="shared" si="3"/>
        <v>West Zone – HR</v>
      </c>
    </row>
    <row r="8" spans="1:11">
      <c r="A8">
        <v>1007</v>
      </c>
      <c r="B8" t="s">
        <v>22</v>
      </c>
      <c r="C8" t="s">
        <v>17</v>
      </c>
      <c r="D8">
        <v>86</v>
      </c>
      <c r="E8" t="s">
        <v>10</v>
      </c>
      <c r="F8" t="s">
        <v>11</v>
      </c>
      <c r="G8">
        <v>76005</v>
      </c>
      <c r="H8" t="str">
        <f t="shared" si="0"/>
        <v>High Salary</v>
      </c>
      <c r="I8" t="str">
        <f t="shared" si="1"/>
        <v>Top Performer</v>
      </c>
      <c r="J8" t="str">
        <f t="shared" si="2"/>
        <v>Mumbai Finance Staff</v>
      </c>
      <c r="K8" t="str">
        <f t="shared" si="3"/>
        <v>West Zone – Finance</v>
      </c>
    </row>
    <row r="9" spans="1:11">
      <c r="A9">
        <v>1008</v>
      </c>
      <c r="B9" t="s">
        <v>23</v>
      </c>
      <c r="C9" t="s">
        <v>17</v>
      </c>
      <c r="D9">
        <v>74</v>
      </c>
      <c r="E9" t="s">
        <v>24</v>
      </c>
      <c r="F9" t="s">
        <v>15</v>
      </c>
      <c r="G9">
        <v>71576</v>
      </c>
      <c r="H9" t="str">
        <f t="shared" si="0"/>
        <v>High Salary</v>
      </c>
      <c r="I9" t="str">
        <f t="shared" si="1"/>
        <v>Average Performer</v>
      </c>
      <c r="J9" t="str">
        <f t="shared" si="2"/>
        <v>Bengaluru Finance Staff</v>
      </c>
      <c r="K9" t="str">
        <f t="shared" si="3"/>
        <v>South Zone – Finance</v>
      </c>
    </row>
    <row r="10" spans="1:11">
      <c r="A10">
        <v>1009</v>
      </c>
      <c r="B10" t="s">
        <v>25</v>
      </c>
      <c r="C10" t="s">
        <v>17</v>
      </c>
      <c r="D10">
        <v>53</v>
      </c>
      <c r="E10" t="s">
        <v>26</v>
      </c>
      <c r="F10" t="s">
        <v>15</v>
      </c>
      <c r="G10">
        <v>64353</v>
      </c>
      <c r="H10" t="str">
        <f t="shared" si="0"/>
        <v>Regular Salary</v>
      </c>
      <c r="I10" t="str">
        <f t="shared" si="1"/>
        <v>Average Performer</v>
      </c>
      <c r="J10" t="str">
        <f t="shared" si="2"/>
        <v>Pune Finance Staff</v>
      </c>
      <c r="K10" t="str">
        <f t="shared" si="3"/>
        <v>West Zone – Finance</v>
      </c>
    </row>
    <row r="11" spans="1:11">
      <c r="A11">
        <v>1010</v>
      </c>
      <c r="B11" t="s">
        <v>27</v>
      </c>
      <c r="C11" t="s">
        <v>13</v>
      </c>
      <c r="D11">
        <v>56</v>
      </c>
      <c r="E11" t="s">
        <v>26</v>
      </c>
      <c r="F11" t="s">
        <v>15</v>
      </c>
      <c r="G11">
        <v>87003</v>
      </c>
      <c r="H11" t="str">
        <f t="shared" si="0"/>
        <v>High Salary</v>
      </c>
      <c r="I11" t="str">
        <f t="shared" si="1"/>
        <v>Average Performer</v>
      </c>
      <c r="J11" t="str">
        <f t="shared" si="2"/>
        <v>Pune Operations Staff</v>
      </c>
      <c r="K11" t="str">
        <f t="shared" si="3"/>
        <v>West Zone – Operations</v>
      </c>
    </row>
    <row r="12" spans="1:11">
      <c r="A12">
        <v>1011</v>
      </c>
      <c r="B12" t="s">
        <v>28</v>
      </c>
      <c r="C12" t="s">
        <v>9</v>
      </c>
      <c r="D12">
        <v>75</v>
      </c>
      <c r="E12" t="s">
        <v>10</v>
      </c>
      <c r="F12" t="s">
        <v>15</v>
      </c>
      <c r="G12">
        <v>77733</v>
      </c>
      <c r="H12" t="str">
        <f t="shared" si="0"/>
        <v>High Salary</v>
      </c>
      <c r="I12" t="str">
        <f t="shared" si="1"/>
        <v>Average Performer</v>
      </c>
      <c r="J12" t="str">
        <f t="shared" si="2"/>
        <v>Mumbai Marketing Staff</v>
      </c>
      <c r="K12" t="str">
        <f t="shared" si="3"/>
        <v>West Zone – Marketing</v>
      </c>
    </row>
    <row r="13" spans="1:11">
      <c r="A13">
        <v>1012</v>
      </c>
      <c r="B13" t="s">
        <v>29</v>
      </c>
      <c r="C13" t="s">
        <v>17</v>
      </c>
      <c r="D13">
        <v>89</v>
      </c>
      <c r="E13" t="s">
        <v>26</v>
      </c>
      <c r="F13" t="s">
        <v>11</v>
      </c>
      <c r="G13">
        <v>90318</v>
      </c>
      <c r="H13" t="str">
        <f t="shared" si="0"/>
        <v>High Salary</v>
      </c>
      <c r="I13" t="str">
        <f t="shared" si="1"/>
        <v>Top Performer</v>
      </c>
      <c r="J13" t="str">
        <f t="shared" si="2"/>
        <v>Pune Finance Staff</v>
      </c>
      <c r="K13" t="str">
        <f t="shared" si="3"/>
        <v>West Zone – Finance</v>
      </c>
    </row>
    <row r="14" spans="1:11">
      <c r="A14">
        <v>1013</v>
      </c>
      <c r="B14" t="s">
        <v>30</v>
      </c>
      <c r="C14" t="s">
        <v>13</v>
      </c>
      <c r="D14">
        <v>79</v>
      </c>
      <c r="E14" t="s">
        <v>26</v>
      </c>
      <c r="F14" t="s">
        <v>15</v>
      </c>
      <c r="G14">
        <v>48664</v>
      </c>
      <c r="H14" t="str">
        <f t="shared" si="0"/>
        <v>Regular Salary</v>
      </c>
      <c r="I14" t="str">
        <f t="shared" si="1"/>
        <v>Average Performer</v>
      </c>
      <c r="J14" t="str">
        <f t="shared" si="2"/>
        <v>Pune Operations Staff</v>
      </c>
      <c r="K14" t="str">
        <f t="shared" si="3"/>
        <v>West Zone – Operations</v>
      </c>
    </row>
    <row r="15" spans="1:11">
      <c r="A15">
        <v>1014</v>
      </c>
      <c r="B15" t="s">
        <v>31</v>
      </c>
      <c r="C15" t="s">
        <v>21</v>
      </c>
      <c r="D15">
        <v>43</v>
      </c>
      <c r="E15" t="s">
        <v>10</v>
      </c>
      <c r="F15" t="s">
        <v>11</v>
      </c>
      <c r="G15">
        <v>92172</v>
      </c>
      <c r="H15" t="str">
        <f t="shared" si="0"/>
        <v>High Salary</v>
      </c>
      <c r="I15" t="str">
        <f t="shared" si="1"/>
        <v>Average Performer</v>
      </c>
      <c r="J15" t="str">
        <f t="shared" si="2"/>
        <v>Mumbai HR Staff</v>
      </c>
      <c r="K15" t="str">
        <f t="shared" si="3"/>
        <v>West Zone – HR</v>
      </c>
    </row>
    <row r="16" spans="1:11">
      <c r="A16">
        <v>1015</v>
      </c>
      <c r="B16" t="s">
        <v>32</v>
      </c>
      <c r="C16" t="s">
        <v>9</v>
      </c>
      <c r="D16">
        <v>41</v>
      </c>
      <c r="E16" t="s">
        <v>26</v>
      </c>
      <c r="F16" t="s">
        <v>11</v>
      </c>
      <c r="G16">
        <v>51736</v>
      </c>
      <c r="H16" t="str">
        <f t="shared" si="0"/>
        <v>Regular Salary</v>
      </c>
      <c r="I16" t="str">
        <f t="shared" si="1"/>
        <v>Average Performer</v>
      </c>
      <c r="J16" t="str">
        <f t="shared" si="2"/>
        <v>Pune Marketing Staff</v>
      </c>
      <c r="K16" t="str">
        <f t="shared" si="3"/>
        <v>West Zone – Marketing</v>
      </c>
    </row>
    <row r="17" spans="1:11">
      <c r="A17">
        <v>1016</v>
      </c>
      <c r="B17" t="s">
        <v>33</v>
      </c>
      <c r="C17" t="s">
        <v>21</v>
      </c>
      <c r="D17">
        <v>45</v>
      </c>
      <c r="E17" t="s">
        <v>14</v>
      </c>
      <c r="F17" t="s">
        <v>15</v>
      </c>
      <c r="G17">
        <v>25854</v>
      </c>
      <c r="H17" t="str">
        <f t="shared" si="0"/>
        <v>Regular Salary</v>
      </c>
      <c r="I17" t="str">
        <f t="shared" si="1"/>
        <v>Average Performer</v>
      </c>
      <c r="J17" t="str">
        <f t="shared" si="2"/>
        <v>Chennai HR Staff</v>
      </c>
      <c r="K17" t="str">
        <f t="shared" si="3"/>
        <v>South Zone – HR</v>
      </c>
    </row>
    <row r="18" spans="1:11">
      <c r="A18">
        <v>1017</v>
      </c>
      <c r="B18" t="s">
        <v>34</v>
      </c>
      <c r="C18" t="s">
        <v>9</v>
      </c>
      <c r="D18">
        <v>93</v>
      </c>
      <c r="E18" t="s">
        <v>35</v>
      </c>
      <c r="F18" t="s">
        <v>15</v>
      </c>
      <c r="G18">
        <v>63623</v>
      </c>
      <c r="H18" t="str">
        <f t="shared" si="0"/>
        <v>Regular Salary</v>
      </c>
      <c r="I18" t="str">
        <f t="shared" si="1"/>
        <v>Top Performer</v>
      </c>
      <c r="J18" t="str">
        <f t="shared" si="2"/>
        <v>Delhi Marketing Staff</v>
      </c>
      <c r="K18" t="str">
        <f t="shared" si="3"/>
        <v>North Zone – Marketing</v>
      </c>
    </row>
    <row r="19" spans="1:11">
      <c r="A19">
        <v>1018</v>
      </c>
      <c r="B19" t="s">
        <v>36</v>
      </c>
      <c r="C19" t="s">
        <v>13</v>
      </c>
      <c r="D19">
        <v>81</v>
      </c>
      <c r="E19" t="s">
        <v>35</v>
      </c>
      <c r="F19" t="s">
        <v>15</v>
      </c>
      <c r="G19">
        <v>32392</v>
      </c>
      <c r="H19" t="str">
        <f t="shared" si="0"/>
        <v>Regular Salary</v>
      </c>
      <c r="I19" t="str">
        <f t="shared" si="1"/>
        <v>Average Performer</v>
      </c>
      <c r="J19" t="str">
        <f t="shared" si="2"/>
        <v>Delhi Operations Staff</v>
      </c>
      <c r="K19" t="str">
        <f t="shared" si="3"/>
        <v>North Zone – Operations</v>
      </c>
    </row>
    <row r="20" spans="1:11">
      <c r="A20">
        <v>1019</v>
      </c>
      <c r="B20" t="s">
        <v>37</v>
      </c>
      <c r="C20" t="s">
        <v>38</v>
      </c>
      <c r="D20">
        <v>43</v>
      </c>
      <c r="E20" t="s">
        <v>10</v>
      </c>
      <c r="F20" t="s">
        <v>15</v>
      </c>
      <c r="G20">
        <v>80680</v>
      </c>
      <c r="H20" t="str">
        <f t="shared" si="0"/>
        <v>High Salary</v>
      </c>
      <c r="I20" t="str">
        <f t="shared" si="1"/>
        <v>Average Performer</v>
      </c>
      <c r="J20" t="str">
        <f t="shared" si="2"/>
        <v>Mumbai Sales Staff</v>
      </c>
      <c r="K20" t="str">
        <f t="shared" si="3"/>
        <v>West Zone – Sales</v>
      </c>
    </row>
    <row r="21" spans="1:11">
      <c r="A21">
        <v>1020</v>
      </c>
      <c r="B21" t="s">
        <v>39</v>
      </c>
      <c r="C21" t="s">
        <v>9</v>
      </c>
      <c r="D21">
        <v>93</v>
      </c>
      <c r="E21" t="s">
        <v>24</v>
      </c>
      <c r="F21" t="s">
        <v>15</v>
      </c>
      <c r="G21">
        <v>71717</v>
      </c>
      <c r="H21" t="str">
        <f t="shared" si="0"/>
        <v>High Salary</v>
      </c>
      <c r="I21" t="str">
        <f t="shared" si="1"/>
        <v>Top Performer</v>
      </c>
      <c r="J21" t="str">
        <f t="shared" si="2"/>
        <v>Bengaluru Marketing Staff</v>
      </c>
      <c r="K21" t="str">
        <f t="shared" si="3"/>
        <v>South Zone – Marketing</v>
      </c>
    </row>
    <row r="22" spans="1:11">
      <c r="A22">
        <v>1021</v>
      </c>
      <c r="B22" t="s">
        <v>40</v>
      </c>
      <c r="C22" t="s">
        <v>21</v>
      </c>
      <c r="D22">
        <v>68</v>
      </c>
      <c r="E22" t="s">
        <v>10</v>
      </c>
      <c r="F22" t="s">
        <v>15</v>
      </c>
      <c r="G22">
        <v>75859</v>
      </c>
      <c r="H22" t="str">
        <f t="shared" si="0"/>
        <v>High Salary</v>
      </c>
      <c r="I22" t="str">
        <f t="shared" si="1"/>
        <v>Average Performer</v>
      </c>
      <c r="J22" t="str">
        <f t="shared" si="2"/>
        <v>Mumbai HR Staff</v>
      </c>
      <c r="K22" t="str">
        <f t="shared" si="3"/>
        <v>West Zone – HR</v>
      </c>
    </row>
    <row r="23" spans="1:11">
      <c r="A23">
        <v>1022</v>
      </c>
      <c r="B23" t="s">
        <v>41</v>
      </c>
      <c r="C23" t="s">
        <v>13</v>
      </c>
      <c r="D23">
        <v>57</v>
      </c>
      <c r="E23" t="s">
        <v>24</v>
      </c>
      <c r="F23" t="s">
        <v>15</v>
      </c>
      <c r="G23">
        <v>51309</v>
      </c>
      <c r="H23" t="str">
        <f t="shared" si="0"/>
        <v>Regular Salary</v>
      </c>
      <c r="I23" t="str">
        <f t="shared" si="1"/>
        <v>Average Performer</v>
      </c>
      <c r="J23" t="str">
        <f t="shared" si="2"/>
        <v>Bengaluru Operations Staff</v>
      </c>
      <c r="K23" t="str">
        <f t="shared" si="3"/>
        <v>South Zone – Operations</v>
      </c>
    </row>
    <row r="24" spans="1:11">
      <c r="A24">
        <v>1023</v>
      </c>
      <c r="B24" t="s">
        <v>42</v>
      </c>
      <c r="C24" t="s">
        <v>9</v>
      </c>
      <c r="D24">
        <v>65</v>
      </c>
      <c r="E24" t="s">
        <v>35</v>
      </c>
      <c r="F24" t="s">
        <v>15</v>
      </c>
      <c r="G24">
        <v>88734</v>
      </c>
      <c r="H24" t="str">
        <f t="shared" si="0"/>
        <v>High Salary</v>
      </c>
      <c r="I24" t="str">
        <f t="shared" si="1"/>
        <v>Average Performer</v>
      </c>
      <c r="J24" t="str">
        <f t="shared" si="2"/>
        <v>Delhi Marketing Staff</v>
      </c>
      <c r="K24" t="str">
        <f t="shared" si="3"/>
        <v>North Zone – Marketing</v>
      </c>
    </row>
    <row r="25" spans="1:11">
      <c r="A25">
        <v>1024</v>
      </c>
      <c r="B25" t="s">
        <v>43</v>
      </c>
      <c r="C25" t="s">
        <v>38</v>
      </c>
      <c r="D25">
        <v>83</v>
      </c>
      <c r="E25" t="s">
        <v>10</v>
      </c>
      <c r="F25" t="s">
        <v>11</v>
      </c>
      <c r="G25">
        <v>77662</v>
      </c>
      <c r="H25" t="str">
        <f t="shared" si="0"/>
        <v>High Salary</v>
      </c>
      <c r="I25" t="str">
        <f t="shared" si="1"/>
        <v>Average Performer</v>
      </c>
      <c r="J25" t="str">
        <f t="shared" si="2"/>
        <v>Mumbai Sales Staff</v>
      </c>
      <c r="K25" t="str">
        <f t="shared" si="3"/>
        <v>West Zone – Sales</v>
      </c>
    </row>
    <row r="26" spans="1:11">
      <c r="A26">
        <v>1025</v>
      </c>
      <c r="B26" t="s">
        <v>44</v>
      </c>
      <c r="C26" t="s">
        <v>38</v>
      </c>
      <c r="D26">
        <v>73</v>
      </c>
      <c r="E26" t="s">
        <v>14</v>
      </c>
      <c r="F26" t="s">
        <v>15</v>
      </c>
      <c r="G26">
        <v>37688</v>
      </c>
      <c r="H26" t="str">
        <f t="shared" si="0"/>
        <v>Regular Salary</v>
      </c>
      <c r="I26" t="str">
        <f t="shared" si="1"/>
        <v>Average Performer</v>
      </c>
      <c r="J26" t="str">
        <f t="shared" si="2"/>
        <v>Chennai Sales Staff</v>
      </c>
      <c r="K26" t="str">
        <f t="shared" si="3"/>
        <v>South Zone – Sales</v>
      </c>
    </row>
    <row r="27" spans="1:11">
      <c r="A27">
        <v>1026</v>
      </c>
      <c r="B27" t="s">
        <v>45</v>
      </c>
      <c r="C27" t="s">
        <v>17</v>
      </c>
      <c r="D27">
        <v>49</v>
      </c>
      <c r="E27" t="s">
        <v>26</v>
      </c>
      <c r="F27" t="s">
        <v>15</v>
      </c>
      <c r="G27">
        <v>50342</v>
      </c>
      <c r="H27" t="str">
        <f t="shared" si="0"/>
        <v>Regular Salary</v>
      </c>
      <c r="I27" t="str">
        <f t="shared" si="1"/>
        <v>Average Performer</v>
      </c>
      <c r="J27" t="str">
        <f t="shared" si="2"/>
        <v>Pune Finance Staff</v>
      </c>
      <c r="K27" t="str">
        <f t="shared" si="3"/>
        <v>West Zone – Finance</v>
      </c>
    </row>
    <row r="28" spans="1:11">
      <c r="A28">
        <v>1027</v>
      </c>
      <c r="B28" t="s">
        <v>46</v>
      </c>
      <c r="C28" t="s">
        <v>17</v>
      </c>
      <c r="D28">
        <v>75</v>
      </c>
      <c r="E28" t="s">
        <v>24</v>
      </c>
      <c r="F28" t="s">
        <v>11</v>
      </c>
      <c r="G28">
        <v>62157</v>
      </c>
      <c r="H28" t="str">
        <f t="shared" si="0"/>
        <v>Regular Salary</v>
      </c>
      <c r="I28" t="str">
        <f t="shared" si="1"/>
        <v>Average Performer</v>
      </c>
      <c r="J28" t="str">
        <f t="shared" si="2"/>
        <v>Bengaluru Finance Staff</v>
      </c>
      <c r="K28" t="str">
        <f t="shared" si="3"/>
        <v>South Zone – Finance</v>
      </c>
    </row>
    <row r="29" spans="1:11">
      <c r="A29">
        <v>1028</v>
      </c>
      <c r="B29" t="s">
        <v>47</v>
      </c>
      <c r="C29" t="s">
        <v>21</v>
      </c>
      <c r="D29">
        <v>53</v>
      </c>
      <c r="E29" t="s">
        <v>26</v>
      </c>
      <c r="F29" t="s">
        <v>15</v>
      </c>
      <c r="G29">
        <v>92863</v>
      </c>
      <c r="H29" t="str">
        <f t="shared" si="0"/>
        <v>High Salary</v>
      </c>
      <c r="I29" t="str">
        <f t="shared" si="1"/>
        <v>Average Performer</v>
      </c>
      <c r="J29" t="str">
        <f t="shared" si="2"/>
        <v>Pune HR Staff</v>
      </c>
      <c r="K29" t="str">
        <f t="shared" si="3"/>
        <v>West Zone – HR</v>
      </c>
    </row>
    <row r="30" spans="1:11">
      <c r="A30">
        <v>1029</v>
      </c>
      <c r="B30" t="s">
        <v>48</v>
      </c>
      <c r="C30" t="s">
        <v>9</v>
      </c>
      <c r="D30">
        <v>70</v>
      </c>
      <c r="E30" t="s">
        <v>26</v>
      </c>
      <c r="F30" t="s">
        <v>11</v>
      </c>
      <c r="G30">
        <v>77083</v>
      </c>
      <c r="H30" t="str">
        <f t="shared" si="0"/>
        <v>High Salary</v>
      </c>
      <c r="I30" t="str">
        <f t="shared" si="1"/>
        <v>Average Performer</v>
      </c>
      <c r="J30" t="str">
        <f t="shared" si="2"/>
        <v>Pune Marketing Staff</v>
      </c>
      <c r="K30" t="str">
        <f t="shared" si="3"/>
        <v>West Zone – Marketing</v>
      </c>
    </row>
    <row r="31" spans="1:11">
      <c r="A31">
        <v>1030</v>
      </c>
      <c r="B31" t="s">
        <v>49</v>
      </c>
      <c r="C31" t="s">
        <v>9</v>
      </c>
      <c r="D31">
        <v>87</v>
      </c>
      <c r="E31" t="s">
        <v>10</v>
      </c>
      <c r="F31" t="s">
        <v>11</v>
      </c>
      <c r="G31">
        <v>90733</v>
      </c>
      <c r="H31" t="str">
        <f t="shared" si="0"/>
        <v>High Salary</v>
      </c>
      <c r="I31" t="str">
        <f t="shared" si="1"/>
        <v>Top Performer</v>
      </c>
      <c r="J31" t="str">
        <f t="shared" si="2"/>
        <v>Mumbai Marketing Staff</v>
      </c>
      <c r="K31" t="str">
        <f t="shared" si="3"/>
        <v>West Zone – Marketing</v>
      </c>
    </row>
    <row r="32" spans="1:11">
      <c r="A32">
        <v>1031</v>
      </c>
      <c r="B32" t="s">
        <v>50</v>
      </c>
      <c r="C32" t="s">
        <v>17</v>
      </c>
      <c r="D32">
        <v>54</v>
      </c>
      <c r="E32" t="s">
        <v>26</v>
      </c>
      <c r="F32" t="s">
        <v>15</v>
      </c>
      <c r="G32">
        <v>59698</v>
      </c>
      <c r="H32" t="str">
        <f t="shared" si="0"/>
        <v>Regular Salary</v>
      </c>
      <c r="I32" t="str">
        <f t="shared" si="1"/>
        <v>Average Performer</v>
      </c>
      <c r="J32" t="str">
        <f t="shared" si="2"/>
        <v>Pune Finance Staff</v>
      </c>
      <c r="K32" t="str">
        <f t="shared" si="3"/>
        <v>West Zone – Finance</v>
      </c>
    </row>
    <row r="33" spans="1:11">
      <c r="A33">
        <v>1032</v>
      </c>
      <c r="B33" t="s">
        <v>51</v>
      </c>
      <c r="C33" t="s">
        <v>9</v>
      </c>
      <c r="D33">
        <v>47</v>
      </c>
      <c r="E33" t="s">
        <v>14</v>
      </c>
      <c r="F33" t="s">
        <v>11</v>
      </c>
      <c r="G33">
        <v>47671</v>
      </c>
      <c r="H33" t="str">
        <f t="shared" si="0"/>
        <v>Regular Salary</v>
      </c>
      <c r="I33" t="str">
        <f t="shared" si="1"/>
        <v>Average Performer</v>
      </c>
      <c r="J33" t="str">
        <f t="shared" si="2"/>
        <v>Chennai Marketing Staff</v>
      </c>
      <c r="K33" t="str">
        <f t="shared" si="3"/>
        <v>South Zone – Marketing</v>
      </c>
    </row>
    <row r="34" spans="1:11">
      <c r="A34">
        <v>1033</v>
      </c>
      <c r="B34" t="s">
        <v>52</v>
      </c>
      <c r="C34" t="s">
        <v>9</v>
      </c>
      <c r="D34">
        <v>53</v>
      </c>
      <c r="E34" t="s">
        <v>26</v>
      </c>
      <c r="F34" t="s">
        <v>11</v>
      </c>
      <c r="G34">
        <v>50184</v>
      </c>
      <c r="H34" t="str">
        <f t="shared" si="0"/>
        <v>Regular Salary</v>
      </c>
      <c r="I34" t="str">
        <f t="shared" si="1"/>
        <v>Average Performer</v>
      </c>
      <c r="J34" t="str">
        <f t="shared" si="2"/>
        <v>Pune Marketing Staff</v>
      </c>
      <c r="K34" t="str">
        <f t="shared" si="3"/>
        <v>West Zone – Marketing</v>
      </c>
    </row>
    <row r="35" spans="1:11">
      <c r="A35">
        <v>1034</v>
      </c>
      <c r="B35" t="s">
        <v>53</v>
      </c>
      <c r="C35" t="s">
        <v>38</v>
      </c>
      <c r="D35">
        <v>62</v>
      </c>
      <c r="E35" t="s">
        <v>10</v>
      </c>
      <c r="F35" t="s">
        <v>11</v>
      </c>
      <c r="G35">
        <v>67107</v>
      </c>
      <c r="H35" t="str">
        <f t="shared" si="0"/>
        <v>Regular Salary</v>
      </c>
      <c r="I35" t="str">
        <f t="shared" si="1"/>
        <v>Average Performer</v>
      </c>
      <c r="J35" t="str">
        <f t="shared" si="2"/>
        <v>Mumbai Sales Staff</v>
      </c>
      <c r="K35" t="str">
        <f t="shared" si="3"/>
        <v>West Zone – Sales</v>
      </c>
    </row>
    <row r="36" spans="1:11">
      <c r="A36">
        <v>1035</v>
      </c>
      <c r="B36" t="s">
        <v>54</v>
      </c>
      <c r="C36" t="s">
        <v>17</v>
      </c>
      <c r="D36">
        <v>99</v>
      </c>
      <c r="E36" t="s">
        <v>14</v>
      </c>
      <c r="F36" t="s">
        <v>11</v>
      </c>
      <c r="G36">
        <v>76663</v>
      </c>
      <c r="H36" t="str">
        <f t="shared" si="0"/>
        <v>High Salary</v>
      </c>
      <c r="I36" t="str">
        <f t="shared" si="1"/>
        <v>Top Performer</v>
      </c>
      <c r="J36" t="str">
        <f t="shared" si="2"/>
        <v>Chennai Finance Staff</v>
      </c>
      <c r="K36" t="str">
        <f t="shared" si="3"/>
        <v>South Zone – Finance</v>
      </c>
    </row>
    <row r="37" spans="1:11">
      <c r="A37">
        <v>1036</v>
      </c>
      <c r="B37" t="s">
        <v>55</v>
      </c>
      <c r="C37" t="s">
        <v>13</v>
      </c>
      <c r="D37">
        <v>96</v>
      </c>
      <c r="E37" t="s">
        <v>35</v>
      </c>
      <c r="F37" t="s">
        <v>15</v>
      </c>
      <c r="G37">
        <v>40708</v>
      </c>
      <c r="H37" t="str">
        <f t="shared" si="0"/>
        <v>Regular Salary</v>
      </c>
      <c r="I37" t="str">
        <f t="shared" si="1"/>
        <v>Average Performer</v>
      </c>
      <c r="J37" t="str">
        <f t="shared" si="2"/>
        <v>Delhi Operations Staff</v>
      </c>
      <c r="K37" t="str">
        <f t="shared" si="3"/>
        <v>North Zone – Operations</v>
      </c>
    </row>
    <row r="38" spans="1:11">
      <c r="A38">
        <v>1037</v>
      </c>
      <c r="B38" t="s">
        <v>56</v>
      </c>
      <c r="C38" t="s">
        <v>17</v>
      </c>
      <c r="D38">
        <v>79</v>
      </c>
      <c r="E38" t="s">
        <v>26</v>
      </c>
      <c r="F38" t="s">
        <v>11</v>
      </c>
      <c r="G38">
        <v>74811</v>
      </c>
      <c r="H38" t="str">
        <f t="shared" si="0"/>
        <v>High Salary</v>
      </c>
      <c r="I38" t="str">
        <f t="shared" si="1"/>
        <v>Average Performer</v>
      </c>
      <c r="J38" t="str">
        <f t="shared" si="2"/>
        <v>Pune Finance Staff</v>
      </c>
      <c r="K38" t="str">
        <f t="shared" si="3"/>
        <v>West Zone – Finance</v>
      </c>
    </row>
    <row r="39" spans="1:11">
      <c r="A39">
        <v>1038</v>
      </c>
      <c r="B39" t="s">
        <v>57</v>
      </c>
      <c r="C39" t="s">
        <v>13</v>
      </c>
      <c r="D39">
        <v>60</v>
      </c>
      <c r="E39" t="s">
        <v>10</v>
      </c>
      <c r="F39" t="s">
        <v>15</v>
      </c>
      <c r="G39">
        <v>27811</v>
      </c>
      <c r="H39" t="str">
        <f t="shared" si="0"/>
        <v>Regular Salary</v>
      </c>
      <c r="I39" t="str">
        <f t="shared" si="1"/>
        <v>Average Performer</v>
      </c>
      <c r="J39" t="str">
        <f t="shared" si="2"/>
        <v>Mumbai Operations Staff</v>
      </c>
      <c r="K39" t="str">
        <f t="shared" si="3"/>
        <v>West Zone – Operations</v>
      </c>
    </row>
    <row r="40" spans="1:11">
      <c r="A40">
        <v>1039</v>
      </c>
      <c r="B40" t="s">
        <v>58</v>
      </c>
      <c r="C40" t="s">
        <v>38</v>
      </c>
      <c r="D40">
        <v>55</v>
      </c>
      <c r="E40" t="s">
        <v>35</v>
      </c>
      <c r="F40" t="s">
        <v>11</v>
      </c>
      <c r="G40">
        <v>81250</v>
      </c>
      <c r="H40" t="str">
        <f t="shared" si="0"/>
        <v>High Salary</v>
      </c>
      <c r="I40" t="str">
        <f t="shared" si="1"/>
        <v>Average Performer</v>
      </c>
      <c r="J40" t="str">
        <f t="shared" si="2"/>
        <v>Delhi Sales Staff</v>
      </c>
      <c r="K40" t="str">
        <f t="shared" si="3"/>
        <v>North Zone – Sales</v>
      </c>
    </row>
    <row r="41" spans="1:11">
      <c r="A41">
        <v>1040</v>
      </c>
      <c r="B41" t="s">
        <v>59</v>
      </c>
      <c r="C41" t="s">
        <v>21</v>
      </c>
      <c r="D41">
        <v>84</v>
      </c>
      <c r="E41" t="s">
        <v>35</v>
      </c>
      <c r="F41" t="s">
        <v>11</v>
      </c>
      <c r="G41">
        <v>59754</v>
      </c>
      <c r="H41" t="str">
        <f t="shared" si="0"/>
        <v>Regular Salary</v>
      </c>
      <c r="I41" t="str">
        <f t="shared" si="1"/>
        <v>Average Performer</v>
      </c>
      <c r="J41" t="str">
        <f t="shared" si="2"/>
        <v>Delhi HR Staff</v>
      </c>
      <c r="K41" t="str">
        <f t="shared" si="3"/>
        <v>North Zone – HR</v>
      </c>
    </row>
    <row r="42" spans="1:11">
      <c r="A42">
        <v>1041</v>
      </c>
      <c r="B42" t="s">
        <v>60</v>
      </c>
      <c r="C42" t="s">
        <v>9</v>
      </c>
      <c r="D42">
        <v>57</v>
      </c>
      <c r="E42" t="s">
        <v>24</v>
      </c>
      <c r="F42" t="s">
        <v>11</v>
      </c>
      <c r="G42">
        <v>36411</v>
      </c>
      <c r="H42" t="str">
        <f t="shared" si="0"/>
        <v>Regular Salary</v>
      </c>
      <c r="I42" t="str">
        <f t="shared" si="1"/>
        <v>Average Performer</v>
      </c>
      <c r="J42" t="str">
        <f t="shared" si="2"/>
        <v>Bengaluru Marketing Staff</v>
      </c>
      <c r="K42" t="str">
        <f t="shared" si="3"/>
        <v>South Zone – Marketing</v>
      </c>
    </row>
    <row r="43" spans="1:11">
      <c r="A43">
        <v>1042</v>
      </c>
      <c r="B43" t="s">
        <v>61</v>
      </c>
      <c r="C43" t="s">
        <v>38</v>
      </c>
      <c r="D43">
        <v>86</v>
      </c>
      <c r="E43" t="s">
        <v>14</v>
      </c>
      <c r="F43" t="s">
        <v>11</v>
      </c>
      <c r="G43">
        <v>27911</v>
      </c>
      <c r="H43" t="str">
        <f t="shared" si="0"/>
        <v>Regular Salary</v>
      </c>
      <c r="I43" t="str">
        <f t="shared" si="1"/>
        <v>Average Performer</v>
      </c>
      <c r="J43" t="str">
        <f t="shared" si="2"/>
        <v>Chennai Sales Staff</v>
      </c>
      <c r="K43" t="str">
        <f t="shared" si="3"/>
        <v>South Zone – Sales</v>
      </c>
    </row>
    <row r="44" spans="1:11">
      <c r="A44">
        <v>1043</v>
      </c>
      <c r="B44" t="s">
        <v>62</v>
      </c>
      <c r="C44" t="s">
        <v>9</v>
      </c>
      <c r="D44">
        <v>92</v>
      </c>
      <c r="E44" t="s">
        <v>26</v>
      </c>
      <c r="F44" t="s">
        <v>15</v>
      </c>
      <c r="G44">
        <v>92270</v>
      </c>
      <c r="H44" t="str">
        <f t="shared" si="0"/>
        <v>High Salary</v>
      </c>
      <c r="I44" t="str">
        <f t="shared" si="1"/>
        <v>Top Performer</v>
      </c>
      <c r="J44" t="str">
        <f t="shared" si="2"/>
        <v>Pune Marketing Staff</v>
      </c>
      <c r="K44" t="str">
        <f t="shared" si="3"/>
        <v>West Zone – Marketing</v>
      </c>
    </row>
    <row r="45" spans="1:11">
      <c r="A45">
        <v>1044</v>
      </c>
      <c r="B45" t="s">
        <v>63</v>
      </c>
      <c r="C45" t="s">
        <v>21</v>
      </c>
      <c r="D45">
        <v>63</v>
      </c>
      <c r="E45" t="s">
        <v>10</v>
      </c>
      <c r="F45" t="s">
        <v>15</v>
      </c>
      <c r="G45">
        <v>33680</v>
      </c>
      <c r="H45" t="str">
        <f t="shared" si="0"/>
        <v>Regular Salary</v>
      </c>
      <c r="I45" t="str">
        <f t="shared" si="1"/>
        <v>Average Performer</v>
      </c>
      <c r="J45" t="str">
        <f t="shared" si="2"/>
        <v>Mumbai HR Staff</v>
      </c>
      <c r="K45" t="str">
        <f t="shared" si="3"/>
        <v>West Zone – HR</v>
      </c>
    </row>
    <row r="46" spans="1:11">
      <c r="A46">
        <v>1045</v>
      </c>
      <c r="B46" t="s">
        <v>64</v>
      </c>
      <c r="C46" t="s">
        <v>21</v>
      </c>
      <c r="D46">
        <v>65</v>
      </c>
      <c r="E46" t="s">
        <v>24</v>
      </c>
      <c r="F46" t="s">
        <v>11</v>
      </c>
      <c r="G46">
        <v>36111</v>
      </c>
      <c r="H46" t="str">
        <f t="shared" si="0"/>
        <v>Regular Salary</v>
      </c>
      <c r="I46" t="str">
        <f t="shared" si="1"/>
        <v>Average Performer</v>
      </c>
      <c r="J46" t="str">
        <f t="shared" si="2"/>
        <v>Bengaluru HR Staff</v>
      </c>
      <c r="K46" t="str">
        <f t="shared" si="3"/>
        <v>South Zone – HR</v>
      </c>
    </row>
    <row r="47" spans="1:11">
      <c r="A47">
        <v>1046</v>
      </c>
      <c r="B47" t="s">
        <v>65</v>
      </c>
      <c r="C47" t="s">
        <v>38</v>
      </c>
      <c r="D47">
        <v>64</v>
      </c>
      <c r="E47" t="s">
        <v>14</v>
      </c>
      <c r="F47" t="s">
        <v>11</v>
      </c>
      <c r="G47">
        <v>62504</v>
      </c>
      <c r="H47" t="str">
        <f t="shared" si="0"/>
        <v>Regular Salary</v>
      </c>
      <c r="I47" t="str">
        <f t="shared" si="1"/>
        <v>Average Performer</v>
      </c>
      <c r="J47" t="str">
        <f t="shared" si="2"/>
        <v>Chennai Sales Staff</v>
      </c>
      <c r="K47" t="str">
        <f t="shared" si="3"/>
        <v>South Zone – Sales</v>
      </c>
    </row>
    <row r="48" spans="1:11">
      <c r="A48">
        <v>1047</v>
      </c>
      <c r="B48" t="s">
        <v>66</v>
      </c>
      <c r="C48" t="s">
        <v>21</v>
      </c>
      <c r="D48">
        <v>99</v>
      </c>
      <c r="E48" t="s">
        <v>24</v>
      </c>
      <c r="F48" t="s">
        <v>15</v>
      </c>
      <c r="G48">
        <v>26802</v>
      </c>
      <c r="H48" t="str">
        <f t="shared" si="0"/>
        <v>Regular Salary</v>
      </c>
      <c r="I48" t="str">
        <f t="shared" si="1"/>
        <v>Average Performer</v>
      </c>
      <c r="J48" t="str">
        <f t="shared" si="2"/>
        <v>Bengaluru HR Staff</v>
      </c>
      <c r="K48" t="str">
        <f t="shared" si="3"/>
        <v>South Zone – HR</v>
      </c>
    </row>
    <row r="49" spans="1:11">
      <c r="A49">
        <v>1048</v>
      </c>
      <c r="B49" t="s">
        <v>67</v>
      </c>
      <c r="C49" t="s">
        <v>13</v>
      </c>
      <c r="D49">
        <v>99</v>
      </c>
      <c r="E49" t="s">
        <v>14</v>
      </c>
      <c r="F49" t="s">
        <v>11</v>
      </c>
      <c r="G49">
        <v>33155</v>
      </c>
      <c r="H49" t="str">
        <f t="shared" si="0"/>
        <v>Regular Salary</v>
      </c>
      <c r="I49" t="str">
        <f t="shared" si="1"/>
        <v>Average Performer</v>
      </c>
      <c r="J49" t="str">
        <f t="shared" si="2"/>
        <v>Chennai Operations Staff</v>
      </c>
      <c r="K49" t="str">
        <f t="shared" si="3"/>
        <v>South Zone – Operations</v>
      </c>
    </row>
    <row r="50" spans="1:11">
      <c r="A50">
        <v>1049</v>
      </c>
      <c r="B50" t="s">
        <v>68</v>
      </c>
      <c r="C50" t="s">
        <v>21</v>
      </c>
      <c r="D50">
        <v>99</v>
      </c>
      <c r="E50" t="s">
        <v>14</v>
      </c>
      <c r="F50" t="s">
        <v>11</v>
      </c>
      <c r="G50">
        <v>64384</v>
      </c>
      <c r="H50" t="str">
        <f t="shared" si="0"/>
        <v>Regular Salary</v>
      </c>
      <c r="I50" t="str">
        <f t="shared" si="1"/>
        <v>Top Performer</v>
      </c>
      <c r="J50" t="str">
        <f t="shared" si="2"/>
        <v>Chennai HR Staff</v>
      </c>
      <c r="K50" t="str">
        <f t="shared" si="3"/>
        <v>South Zone – HR</v>
      </c>
    </row>
    <row r="51" spans="1:11">
      <c r="A51">
        <v>1050</v>
      </c>
      <c r="B51" t="s">
        <v>69</v>
      </c>
      <c r="C51" t="s">
        <v>9</v>
      </c>
      <c r="D51">
        <v>84</v>
      </c>
      <c r="E51" t="s">
        <v>26</v>
      </c>
      <c r="F51" t="s">
        <v>11</v>
      </c>
      <c r="G51">
        <v>72254</v>
      </c>
      <c r="H51" t="str">
        <f t="shared" si="0"/>
        <v>High Salary</v>
      </c>
      <c r="I51" t="str">
        <f t="shared" si="1"/>
        <v>Average Performer</v>
      </c>
      <c r="J51" t="str">
        <f t="shared" si="2"/>
        <v>Pune Marketing Staff</v>
      </c>
      <c r="K51" t="str">
        <f t="shared" si="3"/>
        <v>West Zone – Marketing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7574F-6E55-4B57-A416-F11A711E45F9}">
  <dimension ref="A1:AY7"/>
  <sheetViews>
    <sheetView workbookViewId="0">
      <selection activeCell="B12" sqref="B12"/>
    </sheetView>
  </sheetViews>
  <sheetFormatPr defaultRowHeight="14.4"/>
  <sheetData>
    <row r="1" spans="1:51">
      <c r="A1" t="s">
        <v>1</v>
      </c>
      <c r="B1">
        <v>1001</v>
      </c>
      <c r="C1">
        <v>1002</v>
      </c>
      <c r="D1">
        <v>1003</v>
      </c>
      <c r="E1">
        <v>1004</v>
      </c>
      <c r="F1">
        <v>1005</v>
      </c>
      <c r="G1">
        <v>1006</v>
      </c>
      <c r="H1">
        <v>1007</v>
      </c>
      <c r="I1">
        <v>1008</v>
      </c>
      <c r="J1">
        <v>1009</v>
      </c>
      <c r="K1">
        <v>1010</v>
      </c>
      <c r="L1">
        <v>1011</v>
      </c>
      <c r="M1">
        <v>1012</v>
      </c>
      <c r="N1">
        <v>1013</v>
      </c>
      <c r="O1">
        <v>1014</v>
      </c>
      <c r="P1">
        <v>1015</v>
      </c>
      <c r="Q1">
        <v>1016</v>
      </c>
      <c r="R1">
        <v>1017</v>
      </c>
      <c r="S1">
        <v>1018</v>
      </c>
      <c r="T1">
        <v>1019</v>
      </c>
      <c r="U1">
        <v>1020</v>
      </c>
      <c r="V1">
        <v>1021</v>
      </c>
      <c r="W1">
        <v>1022</v>
      </c>
      <c r="X1">
        <v>1023</v>
      </c>
      <c r="Y1">
        <v>1024</v>
      </c>
      <c r="Z1">
        <v>1025</v>
      </c>
      <c r="AA1">
        <v>1026</v>
      </c>
      <c r="AB1">
        <v>1027</v>
      </c>
      <c r="AC1">
        <v>1028</v>
      </c>
      <c r="AD1">
        <v>1029</v>
      </c>
      <c r="AE1">
        <v>1030</v>
      </c>
      <c r="AF1">
        <v>1031</v>
      </c>
      <c r="AG1">
        <v>1032</v>
      </c>
      <c r="AH1">
        <v>1033</v>
      </c>
      <c r="AI1">
        <v>1034</v>
      </c>
      <c r="AJ1">
        <v>1035</v>
      </c>
      <c r="AK1">
        <v>1036</v>
      </c>
      <c r="AL1">
        <v>1037</v>
      </c>
      <c r="AM1">
        <v>1038</v>
      </c>
      <c r="AN1">
        <v>1039</v>
      </c>
      <c r="AO1">
        <v>1040</v>
      </c>
      <c r="AP1">
        <v>1041</v>
      </c>
      <c r="AQ1">
        <v>1042</v>
      </c>
      <c r="AR1">
        <v>1043</v>
      </c>
      <c r="AS1">
        <v>1044</v>
      </c>
      <c r="AT1">
        <v>1045</v>
      </c>
      <c r="AU1">
        <v>1046</v>
      </c>
      <c r="AV1">
        <v>1047</v>
      </c>
      <c r="AW1">
        <v>1048</v>
      </c>
      <c r="AX1">
        <v>1049</v>
      </c>
      <c r="AY1">
        <v>1050</v>
      </c>
    </row>
    <row r="2" spans="1:51">
      <c r="A2" t="s">
        <v>2</v>
      </c>
      <c r="B2" t="s">
        <v>8</v>
      </c>
      <c r="C2" t="s">
        <v>12</v>
      </c>
      <c r="D2" t="s">
        <v>16</v>
      </c>
      <c r="E2" t="s">
        <v>18</v>
      </c>
      <c r="F2" t="s">
        <v>19</v>
      </c>
      <c r="G2" t="s">
        <v>20</v>
      </c>
      <c r="H2" t="s">
        <v>22</v>
      </c>
      <c r="I2" t="s">
        <v>23</v>
      </c>
      <c r="J2" t="s">
        <v>25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36</v>
      </c>
      <c r="T2" t="s">
        <v>37</v>
      </c>
      <c r="U2" t="s">
        <v>39</v>
      </c>
      <c r="V2" t="s">
        <v>40</v>
      </c>
      <c r="W2" t="s">
        <v>41</v>
      </c>
      <c r="X2" t="s">
        <v>42</v>
      </c>
      <c r="Y2" t="s">
        <v>43</v>
      </c>
      <c r="Z2" t="s">
        <v>44</v>
      </c>
      <c r="AA2" t="s">
        <v>45</v>
      </c>
      <c r="AB2" t="s">
        <v>46</v>
      </c>
      <c r="AC2" t="s">
        <v>47</v>
      </c>
      <c r="AD2" t="s">
        <v>48</v>
      </c>
      <c r="AE2" t="s">
        <v>49</v>
      </c>
      <c r="AF2" t="s">
        <v>50</v>
      </c>
      <c r="AG2" t="s">
        <v>51</v>
      </c>
      <c r="AH2" t="s">
        <v>52</v>
      </c>
      <c r="AI2" t="s">
        <v>53</v>
      </c>
      <c r="AJ2" t="s">
        <v>54</v>
      </c>
      <c r="AK2" t="s">
        <v>55</v>
      </c>
      <c r="AL2" t="s">
        <v>56</v>
      </c>
      <c r="AM2" t="s">
        <v>57</v>
      </c>
      <c r="AN2" t="s">
        <v>58</v>
      </c>
      <c r="AO2" t="s">
        <v>59</v>
      </c>
      <c r="AP2" t="s">
        <v>60</v>
      </c>
      <c r="AQ2" t="s">
        <v>61</v>
      </c>
      <c r="AR2" t="s">
        <v>62</v>
      </c>
      <c r="AS2" t="s">
        <v>63</v>
      </c>
      <c r="AT2" t="s">
        <v>64</v>
      </c>
      <c r="AU2" t="s">
        <v>65</v>
      </c>
      <c r="AV2" t="s">
        <v>66</v>
      </c>
      <c r="AW2" t="s">
        <v>67</v>
      </c>
      <c r="AX2" t="s">
        <v>68</v>
      </c>
      <c r="AY2" t="s">
        <v>69</v>
      </c>
    </row>
    <row r="3" spans="1:51">
      <c r="A3" t="s">
        <v>3</v>
      </c>
      <c r="B3" t="s">
        <v>9</v>
      </c>
      <c r="C3" t="s">
        <v>13</v>
      </c>
      <c r="D3" t="s">
        <v>17</v>
      </c>
      <c r="E3" t="s">
        <v>13</v>
      </c>
      <c r="F3" t="s">
        <v>13</v>
      </c>
      <c r="G3" t="s">
        <v>21</v>
      </c>
      <c r="H3" t="s">
        <v>17</v>
      </c>
      <c r="I3" t="s">
        <v>17</v>
      </c>
      <c r="J3" t="s">
        <v>17</v>
      </c>
      <c r="K3" t="s">
        <v>13</v>
      </c>
      <c r="L3" t="s">
        <v>9</v>
      </c>
      <c r="M3" t="s">
        <v>17</v>
      </c>
      <c r="N3" t="s">
        <v>13</v>
      </c>
      <c r="O3" t="s">
        <v>21</v>
      </c>
      <c r="P3" t="s">
        <v>9</v>
      </c>
      <c r="Q3" t="s">
        <v>21</v>
      </c>
      <c r="R3" t="s">
        <v>9</v>
      </c>
      <c r="S3" t="s">
        <v>13</v>
      </c>
      <c r="T3" t="s">
        <v>38</v>
      </c>
      <c r="U3" t="s">
        <v>9</v>
      </c>
      <c r="V3" t="s">
        <v>21</v>
      </c>
      <c r="W3" t="s">
        <v>13</v>
      </c>
      <c r="X3" t="s">
        <v>9</v>
      </c>
      <c r="Y3" t="s">
        <v>38</v>
      </c>
      <c r="Z3" t="s">
        <v>38</v>
      </c>
      <c r="AA3" t="s">
        <v>17</v>
      </c>
      <c r="AB3" t="s">
        <v>17</v>
      </c>
      <c r="AC3" t="s">
        <v>21</v>
      </c>
      <c r="AD3" t="s">
        <v>9</v>
      </c>
      <c r="AE3" t="s">
        <v>9</v>
      </c>
      <c r="AF3" t="s">
        <v>17</v>
      </c>
      <c r="AG3" t="s">
        <v>9</v>
      </c>
      <c r="AH3" t="s">
        <v>9</v>
      </c>
      <c r="AI3" t="s">
        <v>38</v>
      </c>
      <c r="AJ3" t="s">
        <v>17</v>
      </c>
      <c r="AK3" t="s">
        <v>13</v>
      </c>
      <c r="AL3" t="s">
        <v>17</v>
      </c>
      <c r="AM3" t="s">
        <v>13</v>
      </c>
      <c r="AN3" t="s">
        <v>38</v>
      </c>
      <c r="AO3" t="s">
        <v>21</v>
      </c>
      <c r="AP3" t="s">
        <v>9</v>
      </c>
      <c r="AQ3" t="s">
        <v>38</v>
      </c>
      <c r="AR3" t="s">
        <v>9</v>
      </c>
      <c r="AS3" t="s">
        <v>21</v>
      </c>
      <c r="AT3" t="s">
        <v>21</v>
      </c>
      <c r="AU3" t="s">
        <v>38</v>
      </c>
      <c r="AV3" t="s">
        <v>21</v>
      </c>
      <c r="AW3" t="s">
        <v>13</v>
      </c>
      <c r="AX3" t="s">
        <v>21</v>
      </c>
      <c r="AY3" t="s">
        <v>9</v>
      </c>
    </row>
    <row r="4" spans="1:51">
      <c r="A4" t="s">
        <v>4</v>
      </c>
      <c r="B4">
        <v>67</v>
      </c>
      <c r="C4">
        <v>86</v>
      </c>
      <c r="D4">
        <v>99</v>
      </c>
      <c r="E4">
        <v>46</v>
      </c>
      <c r="F4">
        <v>83</v>
      </c>
      <c r="G4">
        <v>47</v>
      </c>
      <c r="H4">
        <v>86</v>
      </c>
      <c r="I4">
        <v>74</v>
      </c>
      <c r="J4">
        <v>53</v>
      </c>
      <c r="K4">
        <v>56</v>
      </c>
      <c r="L4">
        <v>75</v>
      </c>
      <c r="M4">
        <v>89</v>
      </c>
      <c r="N4">
        <v>79</v>
      </c>
      <c r="O4">
        <v>43</v>
      </c>
      <c r="P4">
        <v>41</v>
      </c>
      <c r="Q4">
        <v>45</v>
      </c>
      <c r="R4">
        <v>93</v>
      </c>
      <c r="S4">
        <v>81</v>
      </c>
      <c r="T4">
        <v>43</v>
      </c>
      <c r="U4">
        <v>93</v>
      </c>
      <c r="V4">
        <v>68</v>
      </c>
      <c r="W4">
        <v>57</v>
      </c>
      <c r="X4">
        <v>65</v>
      </c>
      <c r="Y4">
        <v>83</v>
      </c>
      <c r="Z4">
        <v>73</v>
      </c>
      <c r="AA4">
        <v>49</v>
      </c>
      <c r="AB4">
        <v>75</v>
      </c>
      <c r="AC4">
        <v>53</v>
      </c>
      <c r="AD4">
        <v>70</v>
      </c>
      <c r="AE4">
        <v>87</v>
      </c>
      <c r="AF4">
        <v>54</v>
      </c>
      <c r="AG4">
        <v>47</v>
      </c>
      <c r="AH4">
        <v>53</v>
      </c>
      <c r="AI4">
        <v>62</v>
      </c>
      <c r="AJ4">
        <v>99</v>
      </c>
      <c r="AK4">
        <v>96</v>
      </c>
      <c r="AL4">
        <v>79</v>
      </c>
      <c r="AM4">
        <v>60</v>
      </c>
      <c r="AN4">
        <v>55</v>
      </c>
      <c r="AO4">
        <v>84</v>
      </c>
      <c r="AP4">
        <v>57</v>
      </c>
      <c r="AQ4">
        <v>86</v>
      </c>
      <c r="AR4">
        <v>92</v>
      </c>
      <c r="AS4">
        <v>63</v>
      </c>
      <c r="AT4">
        <v>65</v>
      </c>
      <c r="AU4">
        <v>64</v>
      </c>
      <c r="AV4">
        <v>99</v>
      </c>
      <c r="AW4">
        <v>99</v>
      </c>
      <c r="AX4">
        <v>99</v>
      </c>
      <c r="AY4">
        <v>84</v>
      </c>
    </row>
    <row r="5" spans="1:51">
      <c r="A5" t="s">
        <v>5</v>
      </c>
      <c r="B5" t="s">
        <v>10</v>
      </c>
      <c r="C5" t="s">
        <v>14</v>
      </c>
      <c r="D5" t="s">
        <v>14</v>
      </c>
      <c r="E5" t="s">
        <v>10</v>
      </c>
      <c r="F5" t="s">
        <v>10</v>
      </c>
      <c r="G5" t="s">
        <v>10</v>
      </c>
      <c r="H5" t="s">
        <v>10</v>
      </c>
      <c r="I5" t="s">
        <v>24</v>
      </c>
      <c r="J5" t="s">
        <v>26</v>
      </c>
      <c r="K5" t="s">
        <v>26</v>
      </c>
      <c r="L5" t="s">
        <v>10</v>
      </c>
      <c r="M5" t="s">
        <v>26</v>
      </c>
      <c r="N5" t="s">
        <v>26</v>
      </c>
      <c r="O5" t="s">
        <v>10</v>
      </c>
      <c r="P5" t="s">
        <v>26</v>
      </c>
      <c r="Q5" t="s">
        <v>14</v>
      </c>
      <c r="R5" t="s">
        <v>35</v>
      </c>
      <c r="S5" t="s">
        <v>35</v>
      </c>
      <c r="T5" t="s">
        <v>10</v>
      </c>
      <c r="U5" t="s">
        <v>24</v>
      </c>
      <c r="V5" t="s">
        <v>10</v>
      </c>
      <c r="W5" t="s">
        <v>24</v>
      </c>
      <c r="X5" t="s">
        <v>35</v>
      </c>
      <c r="Y5" t="s">
        <v>10</v>
      </c>
      <c r="Z5" t="s">
        <v>14</v>
      </c>
      <c r="AA5" t="s">
        <v>26</v>
      </c>
      <c r="AB5" t="s">
        <v>24</v>
      </c>
      <c r="AC5" t="s">
        <v>26</v>
      </c>
      <c r="AD5" t="s">
        <v>26</v>
      </c>
      <c r="AE5" t="s">
        <v>10</v>
      </c>
      <c r="AF5" t="s">
        <v>26</v>
      </c>
      <c r="AG5" t="s">
        <v>14</v>
      </c>
      <c r="AH5" t="s">
        <v>26</v>
      </c>
      <c r="AI5" t="s">
        <v>10</v>
      </c>
      <c r="AJ5" t="s">
        <v>14</v>
      </c>
      <c r="AK5" t="s">
        <v>35</v>
      </c>
      <c r="AL5" t="s">
        <v>26</v>
      </c>
      <c r="AM5" t="s">
        <v>10</v>
      </c>
      <c r="AN5" t="s">
        <v>35</v>
      </c>
      <c r="AO5" t="s">
        <v>35</v>
      </c>
      <c r="AP5" t="s">
        <v>24</v>
      </c>
      <c r="AQ5" t="s">
        <v>14</v>
      </c>
      <c r="AR5" t="s">
        <v>26</v>
      </c>
      <c r="AS5" t="s">
        <v>10</v>
      </c>
      <c r="AT5" t="s">
        <v>24</v>
      </c>
      <c r="AU5" t="s">
        <v>14</v>
      </c>
      <c r="AV5" t="s">
        <v>24</v>
      </c>
      <c r="AW5" t="s">
        <v>14</v>
      </c>
      <c r="AX5" t="s">
        <v>14</v>
      </c>
      <c r="AY5" t="s">
        <v>26</v>
      </c>
    </row>
    <row r="6" spans="1:51">
      <c r="A6" t="s">
        <v>6</v>
      </c>
      <c r="B6" t="s">
        <v>11</v>
      </c>
      <c r="C6" t="s">
        <v>15</v>
      </c>
      <c r="D6" t="s">
        <v>11</v>
      </c>
      <c r="E6" t="s">
        <v>15</v>
      </c>
      <c r="F6" t="s">
        <v>11</v>
      </c>
      <c r="G6" t="s">
        <v>11</v>
      </c>
      <c r="H6" t="s">
        <v>11</v>
      </c>
      <c r="I6" t="s">
        <v>15</v>
      </c>
      <c r="J6" t="s">
        <v>15</v>
      </c>
      <c r="K6" t="s">
        <v>15</v>
      </c>
      <c r="L6" t="s">
        <v>15</v>
      </c>
      <c r="M6" t="s">
        <v>11</v>
      </c>
      <c r="N6" t="s">
        <v>15</v>
      </c>
      <c r="O6" t="s">
        <v>11</v>
      </c>
      <c r="P6" t="s">
        <v>11</v>
      </c>
      <c r="Q6" t="s">
        <v>15</v>
      </c>
      <c r="R6" t="s">
        <v>15</v>
      </c>
      <c r="S6" t="s">
        <v>15</v>
      </c>
      <c r="T6" t="s">
        <v>15</v>
      </c>
      <c r="U6" t="s">
        <v>15</v>
      </c>
      <c r="V6" t="s">
        <v>15</v>
      </c>
      <c r="W6" t="s">
        <v>15</v>
      </c>
      <c r="X6" t="s">
        <v>15</v>
      </c>
      <c r="Y6" t="s">
        <v>11</v>
      </c>
      <c r="Z6" t="s">
        <v>15</v>
      </c>
      <c r="AA6" t="s">
        <v>15</v>
      </c>
      <c r="AB6" t="s">
        <v>11</v>
      </c>
      <c r="AC6" t="s">
        <v>15</v>
      </c>
      <c r="AD6" t="s">
        <v>11</v>
      </c>
      <c r="AE6" t="s">
        <v>11</v>
      </c>
      <c r="AF6" t="s">
        <v>15</v>
      </c>
      <c r="AG6" t="s">
        <v>11</v>
      </c>
      <c r="AH6" t="s">
        <v>11</v>
      </c>
      <c r="AI6" t="s">
        <v>11</v>
      </c>
      <c r="AJ6" t="s">
        <v>11</v>
      </c>
      <c r="AK6" t="s">
        <v>15</v>
      </c>
      <c r="AL6" t="s">
        <v>11</v>
      </c>
      <c r="AM6" t="s">
        <v>15</v>
      </c>
      <c r="AN6" t="s">
        <v>11</v>
      </c>
      <c r="AO6" t="s">
        <v>11</v>
      </c>
      <c r="AP6" t="s">
        <v>11</v>
      </c>
      <c r="AQ6" t="s">
        <v>11</v>
      </c>
      <c r="AR6" t="s">
        <v>15</v>
      </c>
      <c r="AS6" t="s">
        <v>15</v>
      </c>
      <c r="AT6" t="s">
        <v>11</v>
      </c>
      <c r="AU6" t="s">
        <v>11</v>
      </c>
      <c r="AV6" t="s">
        <v>15</v>
      </c>
      <c r="AW6" t="s">
        <v>11</v>
      </c>
      <c r="AX6" t="s">
        <v>11</v>
      </c>
      <c r="AY6" t="s">
        <v>11</v>
      </c>
    </row>
    <row r="7" spans="1:51">
      <c r="A7" t="s">
        <v>7</v>
      </c>
      <c r="B7">
        <v>38545</v>
      </c>
      <c r="C7">
        <v>91199</v>
      </c>
      <c r="D7">
        <v>59766</v>
      </c>
      <c r="E7">
        <v>86087</v>
      </c>
      <c r="F7">
        <v>93840</v>
      </c>
      <c r="G7">
        <v>79384</v>
      </c>
      <c r="H7">
        <v>76005</v>
      </c>
      <c r="I7">
        <v>71576</v>
      </c>
      <c r="J7">
        <v>64353</v>
      </c>
      <c r="K7">
        <v>87003</v>
      </c>
      <c r="L7">
        <v>77733</v>
      </c>
      <c r="M7">
        <v>90318</v>
      </c>
      <c r="N7">
        <v>48664</v>
      </c>
      <c r="O7">
        <v>92172</v>
      </c>
      <c r="P7">
        <v>51736</v>
      </c>
      <c r="Q7">
        <v>25854</v>
      </c>
      <c r="R7">
        <v>63623</v>
      </c>
      <c r="S7">
        <v>32392</v>
      </c>
      <c r="T7">
        <v>80680</v>
      </c>
      <c r="U7">
        <v>71717</v>
      </c>
      <c r="V7">
        <v>75859</v>
      </c>
      <c r="W7">
        <v>51309</v>
      </c>
      <c r="X7">
        <v>88734</v>
      </c>
      <c r="Y7">
        <v>77662</v>
      </c>
      <c r="Z7">
        <v>37688</v>
      </c>
      <c r="AA7">
        <v>50342</v>
      </c>
      <c r="AB7">
        <v>62157</v>
      </c>
      <c r="AC7">
        <v>92863</v>
      </c>
      <c r="AD7">
        <v>77083</v>
      </c>
      <c r="AE7">
        <v>90733</v>
      </c>
      <c r="AF7">
        <v>59698</v>
      </c>
      <c r="AG7">
        <v>47671</v>
      </c>
      <c r="AH7">
        <v>50184</v>
      </c>
      <c r="AI7">
        <v>67107</v>
      </c>
      <c r="AJ7">
        <v>76663</v>
      </c>
      <c r="AK7">
        <v>40708</v>
      </c>
      <c r="AL7">
        <v>74811</v>
      </c>
      <c r="AM7">
        <v>27811</v>
      </c>
      <c r="AN7">
        <v>81250</v>
      </c>
      <c r="AO7">
        <v>59754</v>
      </c>
      <c r="AP7">
        <v>36411</v>
      </c>
      <c r="AQ7">
        <v>27911</v>
      </c>
      <c r="AR7">
        <v>92270</v>
      </c>
      <c r="AS7">
        <v>33680</v>
      </c>
      <c r="AT7">
        <v>36111</v>
      </c>
      <c r="AU7">
        <v>62504</v>
      </c>
      <c r="AV7">
        <v>26802</v>
      </c>
      <c r="AW7">
        <v>33155</v>
      </c>
      <c r="AX7">
        <v>64384</v>
      </c>
      <c r="AY7">
        <v>72254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Employee_bonus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Harshita Pandey</dc:creator>
  <cp:lastModifiedBy>Harshita Pandey</cp:lastModifiedBy>
  <dcterms:created xsi:type="dcterms:W3CDTF">2026-01-04T12:57:38Z</dcterms:created>
  <dcterms:modified xsi:type="dcterms:W3CDTF">2026-01-04T16:12:04Z</dcterms:modified>
</cp:coreProperties>
</file>