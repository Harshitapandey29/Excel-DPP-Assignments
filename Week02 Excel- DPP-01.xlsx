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hysics Wallah\"/>
    </mc:Choice>
  </mc:AlternateContent>
  <xr:revisionPtr revIDLastSave="0" documentId="13_ncr:1_{8D37C8EF-6F97-46B8-8D91-7B6B86640AFE}" xr6:coauthVersionLast="47" xr6:coauthVersionMax="47" xr10:uidLastSave="{00000000-0000-0000-0000-000000000000}"/>
  <bookViews>
    <workbookView xWindow="-108" yWindow="-108" windowWidth="23256" windowHeight="13176" xr2:uid="{EDEE33C1-CD1C-44E7-9D8F-310B23021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1" l="1"/>
  <c r="G88" i="1"/>
  <c r="G79" i="1"/>
  <c r="F70" i="1"/>
  <c r="F62" i="1"/>
  <c r="F52" i="1"/>
  <c r="F11" i="1"/>
  <c r="D28" i="1"/>
  <c r="D20" i="1"/>
</calcChain>
</file>

<file path=xl/sharedStrings.xml><?xml version="1.0" encoding="utf-8"?>
<sst xmlns="http://schemas.openxmlformats.org/spreadsheetml/2006/main" count="125" uniqueCount="76">
  <si>
    <t>Sales</t>
  </si>
  <si>
    <t>Product A</t>
  </si>
  <si>
    <t>Product B</t>
  </si>
  <si>
    <t>Product C</t>
  </si>
  <si>
    <t>Question 1</t>
  </si>
  <si>
    <t>Calculate total sales of Product B and Product C only</t>
  </si>
  <si>
    <t>Column1</t>
  </si>
  <si>
    <t>Column2</t>
  </si>
  <si>
    <t>Question 2</t>
  </si>
  <si>
    <t>Count number of cells containing numeric values in range A1:A10</t>
  </si>
  <si>
    <t>formula:</t>
  </si>
  <si>
    <t>"=count(A1:A10)"</t>
  </si>
  <si>
    <t>The answer is:</t>
  </si>
  <si>
    <t>Question 3</t>
  </si>
  <si>
    <t>Question 4</t>
  </si>
  <si>
    <t>Sort dataset by Department (A–Z) and then Salary (Largest to Smallest)</t>
  </si>
  <si>
    <t>1. Select entire dataset</t>
  </si>
  <si>
    <t>4. Add Level</t>
  </si>
  <si>
    <t>Steps:</t>
  </si>
  <si>
    <t>2. Go to Data → Sort</t>
  </si>
  <si>
    <t>3. Sort by: Department → A to Z</t>
  </si>
  <si>
    <t>5. Then by: Salary → Largest to Smallest</t>
  </si>
  <si>
    <t>Score</t>
  </si>
  <si>
    <t>Student</t>
  </si>
  <si>
    <t>Alice</t>
  </si>
  <si>
    <t>Bob</t>
  </si>
  <si>
    <t>Charlie</t>
  </si>
  <si>
    <t xml:space="preserve">Average score of students who scored above 80 </t>
  </si>
  <si>
    <t>"=AVERAGEIF(G19:G21,"&gt;80")"</t>
  </si>
  <si>
    <t>Employee</t>
  </si>
  <si>
    <t xml:space="preserve"> Department </t>
  </si>
  <si>
    <t>Salary</t>
  </si>
  <si>
    <t xml:space="preserve">Alice </t>
  </si>
  <si>
    <t>HR</t>
  </si>
  <si>
    <t xml:space="preserve">Bob </t>
  </si>
  <si>
    <t xml:space="preserve">IT </t>
  </si>
  <si>
    <t xml:space="preserve">Charlie </t>
  </si>
  <si>
    <t xml:space="preserve">HR </t>
  </si>
  <si>
    <t>Question 5</t>
  </si>
  <si>
    <t>Using the dataset below, find the formula to calculate the Second smallest value in the Revenue column.</t>
  </si>
  <si>
    <t xml:space="preserve">Product </t>
  </si>
  <si>
    <t>Revenue</t>
  </si>
  <si>
    <t>Formula:</t>
  </si>
  <si>
    <t>"=sum(B4:B5)"</t>
  </si>
  <si>
    <t>"=SMALL(C41:C43,2)"</t>
  </si>
  <si>
    <t>Answer is:</t>
  </si>
  <si>
    <t>Question 6</t>
  </si>
  <si>
    <t>What formula would you use to count the number of  employees in the "Sales" department from  the dataset below.</t>
  </si>
  <si>
    <t>Department</t>
  </si>
  <si>
    <t>sales</t>
  </si>
  <si>
    <t>IT</t>
  </si>
  <si>
    <t>Question 7</t>
  </si>
  <si>
    <t>Total sales for items that sold more than 200 units</t>
  </si>
  <si>
    <t>item</t>
  </si>
  <si>
    <t>unit sold</t>
  </si>
  <si>
    <t>item A</t>
  </si>
  <si>
    <t>item B</t>
  </si>
  <si>
    <t>item C</t>
  </si>
  <si>
    <t>Question 8</t>
  </si>
  <si>
    <t>Maximum price of items marked as "Available"</t>
  </si>
  <si>
    <t>Item</t>
  </si>
  <si>
    <t>Price</t>
  </si>
  <si>
    <t>Availability</t>
  </si>
  <si>
    <t>Available</t>
  </si>
  <si>
    <t>Unavailable</t>
  </si>
  <si>
    <t>"=SUMIF(C57:C59,"&gt;200",C57:C59)"</t>
  </si>
  <si>
    <t>"=MAXIFS(C65:C67,D65:D67,"Available")"</t>
  </si>
  <si>
    <t>"=COUNTIF(C49:C51,"Sales")"</t>
  </si>
  <si>
    <t>Question 9</t>
  </si>
  <si>
    <t>Count employees earning above 5000 in the HR department</t>
  </si>
  <si>
    <t>"=COUNTIFS(C73:C75,"HR",D73:D75,"&gt;5000")"</t>
  </si>
  <si>
    <t>Question 10</t>
  </si>
  <si>
    <t>Average sales of items priced above 100 but less than 300</t>
  </si>
  <si>
    <t>"=AVERAGEIFS(D81:D83,C81:C83,"&gt;100",C81:C83,"&lt;300")"</t>
  </si>
  <si>
    <t>DPP-Session-13- Overview of Excel</t>
  </si>
  <si>
    <t>Name: HARSHITA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</si>
</sst>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4"/>
      <color theme="1"/>
      <name val="Bahnschrift Light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903B6-134C-4AF1-830E-A1DD58BBE561}" name="Table1" displayName="Table1" ref="A9:B12" totalsRowShown="0">
  <autoFilter ref="A9:B12" xr:uid="{057903B6-134C-4AF1-830E-A1DD58BBE561}"/>
  <tableColumns count="2">
    <tableColumn id="1" xr3:uid="{7F8CABD9-E9F3-485A-AEA2-114753A1D8F1}" name="Column1"/>
    <tableColumn id="2" xr3:uid="{BEEE1D54-1759-424E-B067-F33AA87313EB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18C7B2-7673-44E5-979F-770B921B48C6}" name="Table3" displayName="Table3" ref="F26:G29" totalsRowShown="0">
  <autoFilter ref="F26:G29" xr:uid="{A518C7B2-7673-44E5-979F-770B921B48C6}"/>
  <tableColumns count="2">
    <tableColumn id="1" xr3:uid="{C7D2D433-0C91-438E-8CAE-881C535EDD5B}" name="Student"/>
    <tableColumn id="2" xr3:uid="{3C4530DF-3C6C-4354-A6F8-B87CF8BEB213}" name="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5C2287-8402-4F01-BE26-A05460D635A7}" name="Table4" displayName="Table4" ref="B34:D37" totalsRowShown="0">
  <autoFilter ref="B34:D37" xr:uid="{8E5C2287-8402-4F01-BE26-A05460D635A7}"/>
  <tableColumns count="3">
    <tableColumn id="1" xr3:uid="{65FEFD3B-0238-45CA-907C-64BFCCDAF9AD}" name="Employee"/>
    <tableColumn id="2" xr3:uid="{215C4A0D-8ADE-44B8-8EAE-BEEA1BEB1319}" name=" Department "/>
    <tableColumn id="3" xr3:uid="{38FFA6AB-2245-4768-9349-ACF183CAE58A}" name="Sal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F07952-63E8-4768-9DE2-45E3D8B61FA6}" name="Table46" displayName="Table46" ref="F39:H42" totalsRowShown="0">
  <autoFilter ref="F39:H42" xr:uid="{0AF07952-63E8-4768-9DE2-45E3D8B61FA6}"/>
  <sortState xmlns:xlrd2="http://schemas.microsoft.com/office/spreadsheetml/2017/richdata2" ref="F40:H42">
    <sortCondition ref="G40:G42"/>
    <sortCondition descending="1" ref="H40:H42"/>
  </sortState>
  <tableColumns count="3">
    <tableColumn id="1" xr3:uid="{5A5ED326-02EF-4579-B86C-0CEBC440DB5B}" name="Employee"/>
    <tableColumn id="2" xr3:uid="{44C2DFA3-693D-410E-879A-FD26C27AFED3}" name=" Department "/>
    <tableColumn id="3" xr3:uid="{E3A77617-405B-4E99-9D6B-DF04CAD35A7F}" name="Sal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D29F60-A8AD-4C88-9117-0E323B3C58B2}" name="Table6" displayName="Table6" ref="B50:C53" totalsRowShown="0">
  <autoFilter ref="B50:C53" xr:uid="{B3D29F60-A8AD-4C88-9117-0E323B3C58B2}"/>
  <tableColumns count="2">
    <tableColumn id="1" xr3:uid="{217B7571-D490-4393-AC51-CC35466E92E8}" name="Product "/>
    <tableColumn id="2" xr3:uid="{02A658BF-6381-4C1C-9E59-D7E4C922233A}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F86A9F-BEE4-45AE-9432-FA5501B359E4}" name="Table7" displayName="Table7" ref="B59:C62" totalsRowShown="0">
  <autoFilter ref="B59:C62" xr:uid="{A9F86A9F-BEE4-45AE-9432-FA5501B359E4}"/>
  <tableColumns count="2">
    <tableColumn id="1" xr3:uid="{B16B3FE2-7D2E-4C0B-9362-DB7E5C4CE95C}" name="Employee"/>
    <tableColumn id="2" xr3:uid="{DC317D9E-5654-4243-8D7F-7B7D981A2D4E}" name="Depart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3F78C0-9170-4DBF-B932-F9B4AB9A25BE}" name="Table8" displayName="Table8" ref="B68:C71" totalsRowShown="0">
  <autoFilter ref="B68:C71" xr:uid="{2F3F78C0-9170-4DBF-B932-F9B4AB9A25BE}"/>
  <tableColumns count="2">
    <tableColumn id="1" xr3:uid="{15CAA8ED-1A2A-4B3E-B6B8-5847FAB7BDD0}" name="item"/>
    <tableColumn id="2" xr3:uid="{D952D2FD-59E2-4B4E-AC74-6DB01630AFD3}" name="unit sol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EEC39D-7169-4A43-ABBC-C30A003AE5ED}" name="Table10" displayName="Table10" ref="B77:D80" totalsRowShown="0">
  <autoFilter ref="B77:D80" xr:uid="{B6EEC39D-7169-4A43-ABBC-C30A003AE5ED}"/>
  <tableColumns count="3">
    <tableColumn id="1" xr3:uid="{4B05930B-3479-4722-936D-F0543765315D}" name="Item"/>
    <tableColumn id="2" xr3:uid="{C0D75466-BF34-483F-9D6E-1BADD25761B2}" name="Price"/>
    <tableColumn id="3" xr3:uid="{4DD05B87-C973-45CE-873F-919E890865A0}" name="Availabil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94983D-A4C5-4BB4-AB40-6F4F33C7E022}" name="Table11" displayName="Table11" ref="B86:D89" totalsRowShown="0">
  <autoFilter ref="B86:D89" xr:uid="{1394983D-A4C5-4BB4-AB40-6F4F33C7E022}"/>
  <tableColumns count="3">
    <tableColumn id="1" xr3:uid="{E6931998-9E33-4FEF-864F-9488B19C394A}" name="Employee"/>
    <tableColumn id="2" xr3:uid="{C61CCEAD-1FA0-4370-8CC3-D4D488D3E5DD}" name="Department"/>
    <tableColumn id="3" xr3:uid="{19885263-827E-44D2-9C54-0D7AD2CCEFE9}" name="Sala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ECC4E7-D8AC-42AB-AA7D-8C6A8DEE6216}" name="Table12" displayName="Table12" ref="B95:D98" totalsRowShown="0">
  <autoFilter ref="B95:D98" xr:uid="{3EECC4E7-D8AC-42AB-AA7D-8C6A8DEE6216}"/>
  <tableColumns count="3">
    <tableColumn id="1" xr3:uid="{67D79B58-942B-4232-8726-C59DA3A59FFC}" name="Item"/>
    <tableColumn id="2" xr3:uid="{86964C84-72E1-4C0A-A88B-53C5D69327DF}" name="Price"/>
    <tableColumn id="3" xr3:uid="{9FFBE127-75ED-4B1D-91CF-765BB1F100F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396B-33E6-40AB-AC16-A02D9701BD73}">
  <dimension ref="A3:N98"/>
  <sheetViews>
    <sheetView tabSelected="1" topLeftCell="A3" workbookViewId="0">
      <selection activeCell="B4" sqref="B4:C4"/>
    </sheetView>
  </sheetViews>
  <sheetFormatPr defaultRowHeight="14.4" x14ac:dyDescent="0.3"/>
  <cols>
    <col min="2" max="2" width="11.21875" customWidth="1"/>
    <col min="3" max="3" width="13" customWidth="1"/>
    <col min="4" max="4" width="12.109375" customWidth="1"/>
    <col min="6" max="6" width="9.5546875" customWidth="1"/>
  </cols>
  <sheetData>
    <row r="3" spans="1:14" ht="29.4" x14ac:dyDescent="0.45">
      <c r="F3" s="7" t="s">
        <v>74</v>
      </c>
      <c r="G3" s="8"/>
      <c r="H3" s="8"/>
      <c r="I3" s="8"/>
      <c r="J3" s="8"/>
      <c r="K3" s="8"/>
      <c r="L3" s="8"/>
      <c r="M3" s="8"/>
      <c r="N3" s="8"/>
    </row>
    <row r="4" spans="1:14" ht="29.4" x14ac:dyDescent="0.45">
      <c r="B4" s="2" t="s">
        <v>75</v>
      </c>
      <c r="C4" s="2"/>
      <c r="F4" s="5"/>
    </row>
    <row r="7" spans="1:14" ht="23.4" x14ac:dyDescent="0.35">
      <c r="A7" s="1" t="s">
        <v>4</v>
      </c>
      <c r="C7" s="6" t="s">
        <v>5</v>
      </c>
    </row>
    <row r="9" spans="1:14" x14ac:dyDescent="0.3">
      <c r="A9" t="s">
        <v>6</v>
      </c>
      <c r="B9" t="s">
        <v>7</v>
      </c>
      <c r="D9" t="s">
        <v>10</v>
      </c>
      <c r="E9" t="s">
        <v>43</v>
      </c>
    </row>
    <row r="10" spans="1:14" x14ac:dyDescent="0.3">
      <c r="A10" t="s">
        <v>1</v>
      </c>
      <c r="B10">
        <v>150</v>
      </c>
    </row>
    <row r="11" spans="1:14" x14ac:dyDescent="0.3">
      <c r="A11" t="s">
        <v>2</v>
      </c>
      <c r="B11">
        <v>300</v>
      </c>
      <c r="D11" t="s">
        <v>12</v>
      </c>
      <c r="F11" s="4">
        <f>SUM(B10:B11)</f>
        <v>450</v>
      </c>
    </row>
    <row r="12" spans="1:14" x14ac:dyDescent="0.3">
      <c r="A12" t="s">
        <v>3</v>
      </c>
      <c r="B12">
        <v>450</v>
      </c>
    </row>
    <row r="16" spans="1:14" ht="23.4" x14ac:dyDescent="0.35">
      <c r="A16" s="1" t="s">
        <v>8</v>
      </c>
      <c r="C16" s="6" t="s">
        <v>9</v>
      </c>
    </row>
    <row r="18" spans="1:7" x14ac:dyDescent="0.3">
      <c r="B18" t="s">
        <v>10</v>
      </c>
      <c r="C18" t="s">
        <v>11</v>
      </c>
    </row>
    <row r="20" spans="1:7" x14ac:dyDescent="0.3">
      <c r="B20" t="s">
        <v>12</v>
      </c>
      <c r="D20" s="4">
        <f>COUNT(A7:A12)</f>
        <v>0</v>
      </c>
    </row>
    <row r="24" spans="1:7" ht="23.4" x14ac:dyDescent="0.35">
      <c r="A24" s="1" t="s">
        <v>13</v>
      </c>
      <c r="C24" s="6" t="s">
        <v>27</v>
      </c>
    </row>
    <row r="26" spans="1:7" x14ac:dyDescent="0.3">
      <c r="B26" t="s">
        <v>10</v>
      </c>
      <c r="C26" t="s">
        <v>28</v>
      </c>
      <c r="F26" t="s">
        <v>23</v>
      </c>
      <c r="G26" t="s">
        <v>22</v>
      </c>
    </row>
    <row r="27" spans="1:7" x14ac:dyDescent="0.3">
      <c r="F27" t="s">
        <v>24</v>
      </c>
      <c r="G27">
        <v>85</v>
      </c>
    </row>
    <row r="28" spans="1:7" x14ac:dyDescent="0.3">
      <c r="B28" t="s">
        <v>12</v>
      </c>
      <c r="D28" s="4">
        <f>AVERAGEIF(Table3[Score],"&gt;80")</f>
        <v>87.5</v>
      </c>
      <c r="F28" t="s">
        <v>25</v>
      </c>
      <c r="G28">
        <v>75</v>
      </c>
    </row>
    <row r="29" spans="1:7" x14ac:dyDescent="0.3">
      <c r="F29" t="s">
        <v>26</v>
      </c>
      <c r="G29">
        <v>90</v>
      </c>
    </row>
    <row r="32" spans="1:7" ht="23.4" x14ac:dyDescent="0.35">
      <c r="A32" s="1" t="s">
        <v>14</v>
      </c>
      <c r="C32" s="6" t="s">
        <v>15</v>
      </c>
    </row>
    <row r="34" spans="1:8" x14ac:dyDescent="0.3">
      <c r="B34" t="s">
        <v>29</v>
      </c>
      <c r="C34" t="s">
        <v>30</v>
      </c>
      <c r="D34" t="s">
        <v>31</v>
      </c>
    </row>
    <row r="35" spans="1:8" x14ac:dyDescent="0.3">
      <c r="B35" t="s">
        <v>32</v>
      </c>
      <c r="C35" t="s">
        <v>33</v>
      </c>
      <c r="D35">
        <v>5000</v>
      </c>
    </row>
    <row r="36" spans="1:8" x14ac:dyDescent="0.3">
      <c r="B36" t="s">
        <v>34</v>
      </c>
      <c r="C36" t="s">
        <v>35</v>
      </c>
      <c r="D36">
        <v>8000</v>
      </c>
    </row>
    <row r="37" spans="1:8" x14ac:dyDescent="0.3">
      <c r="B37" t="s">
        <v>36</v>
      </c>
      <c r="C37" t="s">
        <v>37</v>
      </c>
      <c r="D37">
        <v>4500</v>
      </c>
    </row>
    <row r="39" spans="1:8" x14ac:dyDescent="0.3">
      <c r="B39" s="2" t="s">
        <v>18</v>
      </c>
      <c r="F39" t="s">
        <v>29</v>
      </c>
      <c r="G39" t="s">
        <v>30</v>
      </c>
      <c r="H39" t="s">
        <v>31</v>
      </c>
    </row>
    <row r="40" spans="1:8" x14ac:dyDescent="0.3">
      <c r="B40" s="3" t="s">
        <v>16</v>
      </c>
      <c r="F40" t="s">
        <v>32</v>
      </c>
      <c r="G40" t="s">
        <v>33</v>
      </c>
      <c r="H40">
        <v>5000</v>
      </c>
    </row>
    <row r="41" spans="1:8" x14ac:dyDescent="0.3">
      <c r="B41" s="3" t="s">
        <v>19</v>
      </c>
      <c r="F41" t="s">
        <v>36</v>
      </c>
      <c r="G41" t="s">
        <v>37</v>
      </c>
      <c r="H41">
        <v>4500</v>
      </c>
    </row>
    <row r="42" spans="1:8" x14ac:dyDescent="0.3">
      <c r="B42" s="3" t="s">
        <v>20</v>
      </c>
      <c r="F42" t="s">
        <v>34</v>
      </c>
      <c r="G42" t="s">
        <v>35</v>
      </c>
      <c r="H42">
        <v>8000</v>
      </c>
    </row>
    <row r="43" spans="1:8" x14ac:dyDescent="0.3">
      <c r="B43" s="3" t="s">
        <v>17</v>
      </c>
    </row>
    <row r="44" spans="1:8" x14ac:dyDescent="0.3">
      <c r="B44" s="3" t="s">
        <v>21</v>
      </c>
    </row>
    <row r="45" spans="1:8" x14ac:dyDescent="0.3">
      <c r="B45" s="3"/>
    </row>
    <row r="46" spans="1:8" x14ac:dyDescent="0.3">
      <c r="C46" s="3"/>
    </row>
    <row r="48" spans="1:8" ht="23.4" x14ac:dyDescent="0.35">
      <c r="A48" s="1" t="s">
        <v>38</v>
      </c>
      <c r="C48" s="6" t="s">
        <v>39</v>
      </c>
    </row>
    <row r="50" spans="1:6" x14ac:dyDescent="0.3">
      <c r="B50" t="s">
        <v>40</v>
      </c>
      <c r="C50" t="s">
        <v>41</v>
      </c>
      <c r="E50" t="s">
        <v>42</v>
      </c>
      <c r="F50" t="s">
        <v>44</v>
      </c>
    </row>
    <row r="51" spans="1:6" x14ac:dyDescent="0.3">
      <c r="B51" t="s">
        <v>1</v>
      </c>
      <c r="C51">
        <v>1500</v>
      </c>
    </row>
    <row r="52" spans="1:6" x14ac:dyDescent="0.3">
      <c r="B52" t="s">
        <v>2</v>
      </c>
      <c r="C52">
        <v>1200</v>
      </c>
      <c r="E52" t="s">
        <v>45</v>
      </c>
      <c r="F52" s="4">
        <f>SMALL(Table6[Revenue],2)</f>
        <v>1500</v>
      </c>
    </row>
    <row r="53" spans="1:6" x14ac:dyDescent="0.3">
      <c r="B53" t="s">
        <v>3</v>
      </c>
      <c r="C53">
        <v>1800</v>
      </c>
    </row>
    <row r="57" spans="1:6" ht="23.4" x14ac:dyDescent="0.35">
      <c r="A57" s="1" t="s">
        <v>46</v>
      </c>
      <c r="C57" s="6" t="s">
        <v>47</v>
      </c>
    </row>
    <row r="59" spans="1:6" x14ac:dyDescent="0.3">
      <c r="B59" t="s">
        <v>29</v>
      </c>
      <c r="C59" t="s">
        <v>48</v>
      </c>
    </row>
    <row r="60" spans="1:6" x14ac:dyDescent="0.3">
      <c r="B60" t="s">
        <v>24</v>
      </c>
      <c r="C60" t="s">
        <v>50</v>
      </c>
      <c r="E60" t="s">
        <v>10</v>
      </c>
      <c r="F60" t="s">
        <v>67</v>
      </c>
    </row>
    <row r="61" spans="1:6" x14ac:dyDescent="0.3">
      <c r="B61" t="s">
        <v>25</v>
      </c>
      <c r="C61" t="s">
        <v>49</v>
      </c>
    </row>
    <row r="62" spans="1:6" x14ac:dyDescent="0.3">
      <c r="B62" t="s">
        <v>26</v>
      </c>
      <c r="C62" t="s">
        <v>49</v>
      </c>
      <c r="E62" t="s">
        <v>45</v>
      </c>
      <c r="F62" s="4">
        <f>COUNTIF(Table7[Department], "sales")</f>
        <v>2</v>
      </c>
    </row>
    <row r="66" spans="1:7" ht="23.4" x14ac:dyDescent="0.35">
      <c r="A66" s="1" t="s">
        <v>51</v>
      </c>
      <c r="C66" s="6" t="s">
        <v>52</v>
      </c>
    </row>
    <row r="68" spans="1:7" x14ac:dyDescent="0.3">
      <c r="B68" t="s">
        <v>53</v>
      </c>
      <c r="C68" t="s">
        <v>54</v>
      </c>
      <c r="E68" t="s">
        <v>42</v>
      </c>
      <c r="F68" t="s">
        <v>65</v>
      </c>
    </row>
    <row r="69" spans="1:7" x14ac:dyDescent="0.3">
      <c r="B69" t="s">
        <v>55</v>
      </c>
      <c r="C69">
        <v>150</v>
      </c>
    </row>
    <row r="70" spans="1:7" x14ac:dyDescent="0.3">
      <c r="B70" t="s">
        <v>56</v>
      </c>
      <c r="C70">
        <v>300</v>
      </c>
      <c r="E70" t="s">
        <v>45</v>
      </c>
      <c r="F70" s="4">
        <f>SUMIF(Table8[unit sold],"&gt;200",Table8[unit sold])</f>
        <v>550</v>
      </c>
    </row>
    <row r="71" spans="1:7" x14ac:dyDescent="0.3">
      <c r="B71" t="s">
        <v>57</v>
      </c>
      <c r="C71">
        <v>250</v>
      </c>
    </row>
    <row r="75" spans="1:7" ht="23.4" x14ac:dyDescent="0.35">
      <c r="A75" s="1" t="s">
        <v>58</v>
      </c>
      <c r="C75" s="6" t="s">
        <v>59</v>
      </c>
    </row>
    <row r="77" spans="1:7" x14ac:dyDescent="0.3">
      <c r="B77" t="s">
        <v>60</v>
      </c>
      <c r="C77" t="s">
        <v>61</v>
      </c>
      <c r="D77" t="s">
        <v>62</v>
      </c>
      <c r="F77" t="s">
        <v>42</v>
      </c>
      <c r="G77" t="s">
        <v>66</v>
      </c>
    </row>
    <row r="78" spans="1:7" x14ac:dyDescent="0.3">
      <c r="B78" t="s">
        <v>55</v>
      </c>
      <c r="C78">
        <v>200</v>
      </c>
      <c r="D78" t="s">
        <v>63</v>
      </c>
    </row>
    <row r="79" spans="1:7" x14ac:dyDescent="0.3">
      <c r="B79" t="s">
        <v>56</v>
      </c>
      <c r="C79">
        <v>150</v>
      </c>
      <c r="D79" t="s">
        <v>64</v>
      </c>
      <c r="F79" t="s">
        <v>45</v>
      </c>
      <c r="G79" s="4">
        <f>_xlfn.MAXIFS(Table10[Price],Table10[Availability],"Available")</f>
        <v>250</v>
      </c>
    </row>
    <row r="80" spans="1:7" x14ac:dyDescent="0.3">
      <c r="B80" t="s">
        <v>57</v>
      </c>
      <c r="C80">
        <v>250</v>
      </c>
      <c r="D80" t="s">
        <v>63</v>
      </c>
    </row>
    <row r="84" spans="1:7" ht="23.4" x14ac:dyDescent="0.35">
      <c r="A84" s="1" t="s">
        <v>68</v>
      </c>
      <c r="C84" s="6" t="s">
        <v>69</v>
      </c>
    </row>
    <row r="86" spans="1:7" x14ac:dyDescent="0.3">
      <c r="B86" t="s">
        <v>29</v>
      </c>
      <c r="C86" t="s">
        <v>48</v>
      </c>
      <c r="D86" t="s">
        <v>31</v>
      </c>
      <c r="F86" t="s">
        <v>42</v>
      </c>
      <c r="G86" t="s">
        <v>70</v>
      </c>
    </row>
    <row r="87" spans="1:7" x14ac:dyDescent="0.3">
      <c r="B87" t="s">
        <v>24</v>
      </c>
      <c r="C87" t="s">
        <v>33</v>
      </c>
      <c r="D87">
        <v>4000</v>
      </c>
    </row>
    <row r="88" spans="1:7" x14ac:dyDescent="0.3">
      <c r="B88" t="s">
        <v>25</v>
      </c>
      <c r="C88" t="s">
        <v>33</v>
      </c>
      <c r="D88">
        <v>5500</v>
      </c>
      <c r="F88" t="s">
        <v>45</v>
      </c>
      <c r="G88" s="4">
        <f>COUNTIFS(Table11[Department],"HR",Table11[Salary],"&gt;5000")</f>
        <v>1</v>
      </c>
    </row>
    <row r="89" spans="1:7" x14ac:dyDescent="0.3">
      <c r="B89" t="s">
        <v>26</v>
      </c>
      <c r="C89" t="s">
        <v>50</v>
      </c>
      <c r="D89">
        <v>6000</v>
      </c>
    </row>
    <row r="93" spans="1:7" ht="23.4" x14ac:dyDescent="0.35">
      <c r="A93" s="1" t="s">
        <v>71</v>
      </c>
      <c r="C93" s="6" t="s">
        <v>72</v>
      </c>
    </row>
    <row r="95" spans="1:7" x14ac:dyDescent="0.3">
      <c r="B95" t="s">
        <v>60</v>
      </c>
      <c r="C95" t="s">
        <v>61</v>
      </c>
      <c r="D95" t="s">
        <v>0</v>
      </c>
      <c r="F95" t="s">
        <v>42</v>
      </c>
      <c r="G95" t="s">
        <v>73</v>
      </c>
    </row>
    <row r="96" spans="1:7" x14ac:dyDescent="0.3">
      <c r="B96" t="s">
        <v>55</v>
      </c>
      <c r="C96">
        <v>90</v>
      </c>
      <c r="D96">
        <v>1000</v>
      </c>
    </row>
    <row r="97" spans="2:7" x14ac:dyDescent="0.3">
      <c r="B97" t="s">
        <v>56</v>
      </c>
      <c r="C97">
        <v>150</v>
      </c>
      <c r="D97">
        <v>1200</v>
      </c>
      <c r="F97" t="s">
        <v>45</v>
      </c>
      <c r="G97" s="4">
        <f>AVERAGEIFS(Table12[Sales],Table12[Price],"&gt;100",Table12[Price],"&lt;300")</f>
        <v>1350</v>
      </c>
    </row>
    <row r="98" spans="2:7" x14ac:dyDescent="0.3">
      <c r="B98" t="s">
        <v>57</v>
      </c>
      <c r="C98">
        <v>250</v>
      </c>
      <c r="D98">
        <v>1500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Pandey</dc:creator>
  <cp:lastModifiedBy>Harshita Pandey</cp:lastModifiedBy>
  <dcterms:created xsi:type="dcterms:W3CDTF">2025-12-30T15:59:54Z</dcterms:created>
  <dcterms:modified xsi:type="dcterms:W3CDTF">2026-01-04T07:16:22Z</dcterms:modified>
</cp:coreProperties>
</file>