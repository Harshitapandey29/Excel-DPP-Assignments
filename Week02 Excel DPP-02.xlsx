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8BD6012-C7CD-4C6F-9715-FB3EC589BB99}" xr6:coauthVersionLast="47" xr6:coauthVersionMax="47" xr10:uidLastSave="{00000000-0000-0000-0000-000000000000}"/>
  <bookViews>
    <workbookView xWindow="-108" yWindow="-108" windowWidth="23256" windowHeight="13176" xr2:uid="{DCDE003D-795E-4E17-90D0-B4811CE7A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0" i="1" l="1"/>
  <c r="H85" i="1"/>
  <c r="H80" i="1"/>
  <c r="H75" i="1"/>
  <c r="H70" i="1"/>
  <c r="U62" i="1"/>
  <c r="U55" i="1"/>
  <c r="U49" i="1"/>
  <c r="U44" i="1"/>
  <c r="U39" i="1"/>
  <c r="L61" i="1"/>
  <c r="J55" i="1"/>
  <c r="J50" i="1"/>
  <c r="J44" i="1"/>
  <c r="J39" i="1"/>
  <c r="U30" i="1"/>
  <c r="U25" i="1"/>
  <c r="U20" i="1"/>
  <c r="U15" i="1"/>
  <c r="U10" i="1"/>
  <c r="J30" i="1"/>
  <c r="J25" i="1"/>
  <c r="J20" i="1"/>
  <c r="J15" i="1"/>
  <c r="J10" i="1"/>
</calcChain>
</file>

<file path=xl/sharedStrings.xml><?xml version="1.0" encoding="utf-8"?>
<sst xmlns="http://schemas.openxmlformats.org/spreadsheetml/2006/main" count="102" uniqueCount="89">
  <si>
    <t>Excel Text Functions Assignment</t>
  </si>
  <si>
    <t>Name: HARSHITA PANDEY</t>
  </si>
  <si>
    <t>Day 1: Basic Text Functions:</t>
  </si>
  <si>
    <t>Objective: Understand and apply fundamental text functions like LEFT, RIGHT, MID, and LEN.</t>
  </si>
  <si>
    <r>
      <rPr>
        <b/>
        <i/>
        <sz val="12"/>
        <color theme="1"/>
        <rFont val="Calibri"/>
        <family val="2"/>
        <scheme val="minor"/>
      </rPr>
      <t>Question 1]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b/>
        <i/>
        <sz val="12"/>
        <color theme="1"/>
        <rFont val="Calibri"/>
        <family val="2"/>
        <scheme val="minor"/>
      </rPr>
      <t>Extract the first 5 characters from the string "ExcelTipsAreGreat" using the LEFT function.</t>
    </r>
  </si>
  <si>
    <t>ExcelTipsAreGreat</t>
  </si>
  <si>
    <t>:</t>
  </si>
  <si>
    <t>Extracting the first 5 characters from this string =</t>
  </si>
  <si>
    <t>Question 2]  Extract the last 4 characters from "DataAnalysis.xlsx" using the RIGHT function.</t>
  </si>
  <si>
    <t>DataAnalysis.xlsx</t>
  </si>
  <si>
    <t>Question 3]  Extract the substring "Tips" from "ExcelTipsAreGreat" using the MID function.</t>
  </si>
  <si>
    <t xml:space="preserve">Extracting the substring "Tips" from this string = </t>
  </si>
  <si>
    <t>Extracting the last 4 characyers from this string  =</t>
  </si>
  <si>
    <t>Question 4]  Count the total number of characters in the string "Hello World!" using the LEN function.</t>
  </si>
  <si>
    <t>Hello World!</t>
  </si>
  <si>
    <t>Total number of characters in this string =</t>
  </si>
  <si>
    <t>Question 5]  Create a formula to extract the middle 6 characters from "12345-67890-ABCDE".</t>
  </si>
  <si>
    <t>12345-67890-ABCDE</t>
  </si>
  <si>
    <t>Extracting the middle 6 characters for this  =</t>
  </si>
  <si>
    <t>Objective: Learn to clean and format text using TRIM, UPPER, LOWER, and PROPER.</t>
  </si>
  <si>
    <t>Question 1]  Remove extra spaces from the text " Hello Excel " using the TRIM function.</t>
  </si>
  <si>
    <t xml:space="preserve"> Hello Excel         : </t>
  </si>
  <si>
    <t xml:space="preserve">Removing Extra spacing from this string = </t>
  </si>
  <si>
    <t>Question 2]  Convert "john doe" to uppercase using the UPPER function.</t>
  </si>
  <si>
    <t>john doe</t>
  </si>
  <si>
    <t>Question 3]  Convert "MARY SMITH" to lowercase using the LOWER function.</t>
  </si>
  <si>
    <t>Converting this to lowercase  =</t>
  </si>
  <si>
    <t>Converting this to uppercase =</t>
  </si>
  <si>
    <t xml:space="preserve">MARY SMITH      </t>
  </si>
  <si>
    <t>Question 4]  Properly capitalize the text "eXceL FunCTions" using the PROPER function4</t>
  </si>
  <si>
    <t>eXcel FunCTions</t>
  </si>
  <si>
    <t>Properly capitalizing this string =</t>
  </si>
  <si>
    <t>Question 5]  Combine TRIM and PROPER to clean and capitalize " messy text Example " in a single formula.</t>
  </si>
  <si>
    <t xml:space="preserve"> messy text Example</t>
  </si>
  <si>
    <t xml:space="preserve">Combining the two formulas = </t>
  </si>
  <si>
    <t>Day 2: Cleaning and Standardizing Text:</t>
  </si>
  <si>
    <t>Day 3: Combining Text:</t>
  </si>
  <si>
    <t>Objective: Understand how to combine text using CONCAT, TEXTJOIN, and the &amp; operator.</t>
  </si>
  <si>
    <t>Question 1]  Use CONCAT to combine "Hello" and "World" with a space in between.</t>
  </si>
  <si>
    <t>Hello</t>
  </si>
  <si>
    <t>World</t>
  </si>
  <si>
    <t>Concationg these two strings =</t>
  </si>
  <si>
    <t>Question 2]  Combine "Apple", "Banana", and "Cherry" into a single string separated by commas using TEXTJOIN.</t>
  </si>
  <si>
    <t>Apple</t>
  </si>
  <si>
    <t>Banana</t>
  </si>
  <si>
    <t>Cherry</t>
  </si>
  <si>
    <t xml:space="preserve">Combining these into single string = </t>
  </si>
  <si>
    <t>Question 3]  Use the &amp; operator to create the string "2025: Excel Functions" by combining "2025", ": ",</t>
  </si>
  <si>
    <t xml:space="preserve"> and "Excel Functions".</t>
  </si>
  <si>
    <t>Excel Functions</t>
  </si>
  <si>
    <t xml:space="preserve">Combing these string by &amp; operator = </t>
  </si>
  <si>
    <t>Question 4]  Create a comma-separated list from the range A1:A5 using TEXTJOIN</t>
  </si>
  <si>
    <t xml:space="preserve">Creating a comma seperated list from A1:A5 = </t>
  </si>
  <si>
    <t>Question 5]  Combine first names in column A with last names in column B to create full names in column C.</t>
  </si>
  <si>
    <t>Jahnvi</t>
  </si>
  <si>
    <t>Singh</t>
  </si>
  <si>
    <t xml:space="preserve">Full name = </t>
  </si>
  <si>
    <t>First_name</t>
  </si>
  <si>
    <t>Last_name</t>
  </si>
  <si>
    <t>Full_name</t>
  </si>
  <si>
    <t>Day 4: Advanced Search and Replace</t>
  </si>
  <si>
    <t>Objective: Explore SEARCH, FIND, SUBSTITUTE, and REPLACE functions.</t>
  </si>
  <si>
    <t>Question 1]  Use SEARCH to find the position of "c" in "Welcome to Excel".</t>
  </si>
  <si>
    <t xml:space="preserve">Finding the position of "c" in Welcome to Excel = </t>
  </si>
  <si>
    <t>Question 2]  Use FIND to locate the position of "Excel" in "Welcome to Excel" (case-sensitive).</t>
  </si>
  <si>
    <t xml:space="preserve">Locationg the position of Excel in Welcome to Excel = </t>
  </si>
  <si>
    <t>Question 3]  Replace "World" with "Excel" in the string "Hello World" using SUBSTITUTE</t>
  </si>
  <si>
    <t>Hello World</t>
  </si>
  <si>
    <t>Replacing World with Excel</t>
  </si>
  <si>
    <t>Question 4]  Replace the year "2020" with "2025" in "Budget_2020_Report.xlsx" using REPLACE</t>
  </si>
  <si>
    <t xml:space="preserve">Replacing 2020 with 2025 = </t>
  </si>
  <si>
    <t>Question 5]  Write a formula to find the position of "-" in "ABC-123-XYZ" and extract the first part of the string.</t>
  </si>
  <si>
    <t>ABC-123-XYZ</t>
  </si>
  <si>
    <t xml:space="preserve">Formula for finding the position of "-" = </t>
  </si>
  <si>
    <t>"=search("-", "ABC-123-XYZ")"</t>
  </si>
  <si>
    <t xml:space="preserve">Extracting the first part of the string = </t>
  </si>
  <si>
    <t>Day 5: Formatting and Validating Text</t>
  </si>
  <si>
    <t>Objective: Work with TEXT, VALUE, CLEAN, and EXACT functions.</t>
  </si>
  <si>
    <t>Question 1]  Format the date "2025-01-21" as "21-Jan-2025" using the TEXT function.</t>
  </si>
  <si>
    <t xml:space="preserve">Formating this date = </t>
  </si>
  <si>
    <t>Question 2]  Convert the text "12345" into a numeric value using the VALUE function.</t>
  </si>
  <si>
    <t xml:space="preserve">Converting the text into numeric value = </t>
  </si>
  <si>
    <t>Question 3]  Remove non-printable characters from "HelloWorld" using the CLEAN function.</t>
  </si>
  <si>
    <t>HelloWorld</t>
  </si>
  <si>
    <t xml:space="preserve">Removing non-printable charater from this </t>
  </si>
  <si>
    <t>Question 4]  Check if "Excel" and "excel" are exactly the same using the EXACT function.</t>
  </si>
  <si>
    <t xml:space="preserve">Check the similarity = </t>
  </si>
  <si>
    <t>Question 5]  Format the number 1234.567 as "1,234.57" using the TEXT function.</t>
  </si>
  <si>
    <t xml:space="preserve">Formating the number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</si>
</sst>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Bahnschrift Light"/>
      <family val="2"/>
    </font>
    <font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6" fillId="0" borderId="0" xfId="0" applyFont="1" applyFill="1"/>
    <xf numFmtId="0" fontId="1" fillId="0" borderId="0" xfId="0" applyFont="1" applyFill="1"/>
    <xf numFmtId="0" fontId="8" fillId="0" borderId="0" xfId="0" applyFont="1"/>
    <xf numFmtId="0" fontId="0" fillId="3" borderId="0" xfId="0" applyFill="1"/>
    <xf numFmtId="0" fontId="9" fillId="0" borderId="0" xfId="0" applyFont="1"/>
    <xf numFmtId="0" fontId="7" fillId="0" borderId="0" xfId="0" applyFont="1"/>
    <xf numFmtId="14" fontId="2" fillId="0" borderId="0" xfId="0" applyNumberFormat="1" applyFont="1"/>
    <xf numFmtId="0" fontId="5" fillId="4" borderId="0" xfId="0" applyFont="1" applyFill="1"/>
    <xf numFmtId="0" fontId="0" fillId="4" borderId="0" xfId="0" applyFill="1"/>
    <xf numFmtId="0" fontId="5" fillId="4" borderId="0" xfId="0" applyFont="1" applyFill="1" applyAlignment="1"/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314D7-7ADD-4CB5-A548-D632469683FC}" name="Table2" displayName="Table2" ref="B60:C61" totalsRowShown="0">
  <autoFilter ref="B60:C61" xr:uid="{C9E314D7-7ADD-4CB5-A548-D632469683FC}"/>
  <tableColumns count="2">
    <tableColumn id="1" xr3:uid="{F94891AC-EB59-4212-96E4-D2908B35F94F}" name="First_name"/>
    <tableColumn id="2" xr3:uid="{B6B63069-1F12-47B7-B900-7475BD118717}" name="Last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AB326D-F392-43A6-9D7F-C73E46483B41}" name="Table25" displayName="Table25" ref="J60:L61" totalsRowShown="0">
  <autoFilter ref="J60:L61" xr:uid="{72AB326D-F392-43A6-9D7F-C73E46483B41}"/>
  <tableColumns count="3">
    <tableColumn id="1" xr3:uid="{AC6148EA-A6D4-4C7B-8AF2-32CE0D3B82AF}" name="First_name"/>
    <tableColumn id="2" xr3:uid="{7071E6F2-91B7-4F73-99EB-07753067D710}" name="Last_name"/>
    <tableColumn id="3" xr3:uid="{8B424FE3-D7C5-4CDC-91C0-ECA36BFE9879}" name="Full_name">
      <calculatedColumnFormula>_xlfn.CONCAT(Table25[[#This Row],[First_name]],Table25[[#This Row],[Last_name]])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F63F-325F-492C-94E4-CCA0AC69FC9B}">
  <dimension ref="A2:V90"/>
  <sheetViews>
    <sheetView tabSelected="1" zoomScaleNormal="100" workbookViewId="0">
      <selection activeCell="L9" sqref="L9"/>
    </sheetView>
  </sheetViews>
  <sheetFormatPr defaultRowHeight="14.4" x14ac:dyDescent="0.3"/>
  <cols>
    <col min="2" max="3" width="10.44140625" customWidth="1"/>
    <col min="10" max="10" width="10.5546875" customWidth="1"/>
    <col min="12" max="12" width="10.109375" customWidth="1"/>
    <col min="21" max="21" width="18.109375" customWidth="1"/>
  </cols>
  <sheetData>
    <row r="2" spans="1:21" ht="31.8" x14ac:dyDescent="0.5">
      <c r="H2" s="2" t="s">
        <v>0</v>
      </c>
      <c r="I2" s="2"/>
      <c r="J2" s="2"/>
      <c r="K2" s="2"/>
      <c r="L2" s="3"/>
      <c r="M2" s="3"/>
      <c r="N2" s="3"/>
      <c r="O2" s="3"/>
      <c r="P2" s="3"/>
    </row>
    <row r="3" spans="1:21" x14ac:dyDescent="0.3">
      <c r="A3" t="s">
        <v>1</v>
      </c>
    </row>
    <row r="5" spans="1:21" ht="23.4" x14ac:dyDescent="0.45">
      <c r="B5" s="13" t="s">
        <v>2</v>
      </c>
      <c r="C5" s="13"/>
      <c r="D5" s="13"/>
      <c r="E5" s="14"/>
      <c r="F5" s="14"/>
      <c r="G5" s="14"/>
      <c r="H5" s="14"/>
      <c r="O5" s="11" t="s">
        <v>35</v>
      </c>
      <c r="P5" s="12"/>
      <c r="Q5" s="12"/>
      <c r="R5" s="12"/>
      <c r="S5" s="12"/>
      <c r="T5" s="12"/>
      <c r="U5" s="12"/>
    </row>
    <row r="6" spans="1:21" x14ac:dyDescent="0.3">
      <c r="A6" s="4" t="s">
        <v>3</v>
      </c>
      <c r="B6" s="5"/>
      <c r="C6" s="5"/>
      <c r="D6" s="5"/>
      <c r="E6" s="5"/>
      <c r="F6" s="5"/>
      <c r="G6" s="5"/>
      <c r="H6" s="5"/>
      <c r="I6" s="5"/>
      <c r="N6" s="4" t="s">
        <v>19</v>
      </c>
    </row>
    <row r="8" spans="1:21" ht="15.6" x14ac:dyDescent="0.3">
      <c r="A8" s="6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N8" s="8" t="s">
        <v>20</v>
      </c>
    </row>
    <row r="10" spans="1:21" x14ac:dyDescent="0.3">
      <c r="B10" s="1" t="s">
        <v>5</v>
      </c>
      <c r="C10" s="1"/>
      <c r="D10" t="s">
        <v>6</v>
      </c>
      <c r="E10" t="s">
        <v>7</v>
      </c>
      <c r="J10" s="7" t="str">
        <f>LEFT(B10,5)</f>
        <v>Excel</v>
      </c>
      <c r="O10" s="1" t="s">
        <v>21</v>
      </c>
      <c r="Q10" t="s">
        <v>22</v>
      </c>
      <c r="U10" s="7" t="str">
        <f>TRIM(O10)</f>
        <v>Hello Excel :</v>
      </c>
    </row>
    <row r="13" spans="1:21" ht="15.6" x14ac:dyDescent="0.3">
      <c r="A13" s="8" t="s">
        <v>8</v>
      </c>
      <c r="B13" s="8"/>
      <c r="C13" s="8"/>
      <c r="D13" s="8"/>
      <c r="E13" s="8"/>
      <c r="F13" s="8"/>
      <c r="G13" s="8"/>
      <c r="H13" s="8"/>
      <c r="I13" s="8"/>
      <c r="N13" s="8" t="s">
        <v>23</v>
      </c>
    </row>
    <row r="15" spans="1:21" x14ac:dyDescent="0.3">
      <c r="B15" s="1" t="s">
        <v>9</v>
      </c>
      <c r="D15" t="s">
        <v>6</v>
      </c>
      <c r="E15" t="s">
        <v>12</v>
      </c>
      <c r="J15" s="7" t="str">
        <f>RIGHT(B15,4)</f>
        <v>xlsx</v>
      </c>
      <c r="O15" s="1" t="s">
        <v>24</v>
      </c>
      <c r="P15" t="s">
        <v>6</v>
      </c>
      <c r="Q15" t="s">
        <v>27</v>
      </c>
      <c r="U15" s="7" t="str">
        <f>UPPER(O15)</f>
        <v>JOHN DOE</v>
      </c>
    </row>
    <row r="18" spans="1:21" ht="15.6" x14ac:dyDescent="0.3">
      <c r="A18" s="8" t="s">
        <v>10</v>
      </c>
      <c r="N18" s="8" t="s">
        <v>25</v>
      </c>
    </row>
    <row r="20" spans="1:21" x14ac:dyDescent="0.3">
      <c r="B20" s="1" t="s">
        <v>5</v>
      </c>
      <c r="D20" t="s">
        <v>6</v>
      </c>
      <c r="E20" t="s">
        <v>11</v>
      </c>
      <c r="J20" s="7" t="str">
        <f>MID(B20,6,4)</f>
        <v>Tips</v>
      </c>
      <c r="O20" s="1" t="s">
        <v>28</v>
      </c>
      <c r="Q20" t="s">
        <v>26</v>
      </c>
      <c r="U20" s="7" t="str">
        <f>LOWER(O20)</f>
        <v xml:space="preserve">mary smith      </v>
      </c>
    </row>
    <row r="23" spans="1:21" ht="15.6" x14ac:dyDescent="0.3">
      <c r="A23" s="8" t="s">
        <v>13</v>
      </c>
      <c r="N23" s="8" t="s">
        <v>29</v>
      </c>
    </row>
    <row r="25" spans="1:21" x14ac:dyDescent="0.3">
      <c r="B25" s="1" t="s">
        <v>14</v>
      </c>
      <c r="D25" t="s">
        <v>6</v>
      </c>
      <c r="E25" t="s">
        <v>15</v>
      </c>
      <c r="J25" s="7">
        <f>LEN(B25)</f>
        <v>12</v>
      </c>
      <c r="O25" s="1" t="s">
        <v>30</v>
      </c>
      <c r="Q25" t="s">
        <v>31</v>
      </c>
      <c r="U25" s="7" t="str">
        <f>PROPER(O25)</f>
        <v>Excel Functions</v>
      </c>
    </row>
    <row r="28" spans="1:21" ht="15.6" x14ac:dyDescent="0.3">
      <c r="A28" s="8" t="s">
        <v>16</v>
      </c>
      <c r="B28" s="1"/>
      <c r="N28" s="9" t="s">
        <v>32</v>
      </c>
    </row>
    <row r="30" spans="1:21" x14ac:dyDescent="0.3">
      <c r="B30" s="1" t="s">
        <v>17</v>
      </c>
      <c r="D30" t="s">
        <v>6</v>
      </c>
      <c r="E30" t="s">
        <v>18</v>
      </c>
      <c r="J30" s="7" t="str">
        <f>MID(B30,7,5)</f>
        <v>67890</v>
      </c>
      <c r="O30" s="1" t="s">
        <v>33</v>
      </c>
      <c r="R30" t="s">
        <v>34</v>
      </c>
      <c r="U30" s="7" t="str">
        <f>PROPER(TRIM(O30))</f>
        <v>Messy Text Example</v>
      </c>
    </row>
    <row r="34" spans="1:21" ht="23.4" x14ac:dyDescent="0.45">
      <c r="B34" s="11" t="s">
        <v>36</v>
      </c>
      <c r="C34" s="12"/>
      <c r="D34" s="12"/>
      <c r="E34" s="12"/>
      <c r="F34" s="12"/>
      <c r="G34" s="12"/>
      <c r="H34" s="12"/>
      <c r="O34" s="11" t="s">
        <v>60</v>
      </c>
      <c r="P34" s="12"/>
      <c r="Q34" s="12"/>
      <c r="R34" s="12"/>
      <c r="S34" s="12"/>
      <c r="T34" s="12"/>
      <c r="U34" s="12"/>
    </row>
    <row r="35" spans="1:21" x14ac:dyDescent="0.3">
      <c r="A35" s="4" t="s">
        <v>37</v>
      </c>
      <c r="N35" s="4" t="s">
        <v>61</v>
      </c>
    </row>
    <row r="37" spans="1:21" ht="15.6" x14ac:dyDescent="0.3">
      <c r="A37" s="8" t="s">
        <v>38</v>
      </c>
      <c r="B37" s="8"/>
      <c r="N37" s="8" t="s">
        <v>62</v>
      </c>
    </row>
    <row r="39" spans="1:21" x14ac:dyDescent="0.3">
      <c r="B39" s="1" t="s">
        <v>39</v>
      </c>
      <c r="C39" s="1" t="s">
        <v>40</v>
      </c>
      <c r="D39" t="s">
        <v>6</v>
      </c>
      <c r="E39" t="s">
        <v>41</v>
      </c>
      <c r="J39" s="7" t="str">
        <f>_xlfn.CONCAT(B39," ",C39)</f>
        <v>Hello World</v>
      </c>
      <c r="O39" t="s">
        <v>63</v>
      </c>
      <c r="U39" s="7">
        <f>SEARCH("c","Welcome to Excel")</f>
        <v>4</v>
      </c>
    </row>
    <row r="42" spans="1:21" ht="15.6" x14ac:dyDescent="0.3">
      <c r="A42" s="8" t="s">
        <v>42</v>
      </c>
      <c r="N42" s="8" t="s">
        <v>64</v>
      </c>
    </row>
    <row r="44" spans="1:21" x14ac:dyDescent="0.3">
      <c r="B44" s="1" t="s">
        <v>43</v>
      </c>
      <c r="C44" s="1" t="s">
        <v>44</v>
      </c>
      <c r="D44" s="1" t="s">
        <v>45</v>
      </c>
      <c r="E44" t="s">
        <v>46</v>
      </c>
      <c r="J44" s="7" t="str">
        <f>_xlfn.TEXTJOIN(", ",TRUE,B44,C44,D44)</f>
        <v>Apple, Banana, Cherry</v>
      </c>
      <c r="K44" s="7"/>
      <c r="O44" t="s">
        <v>65</v>
      </c>
      <c r="U44" s="7">
        <f>FIND("Excel", "Welcome to Excel")</f>
        <v>12</v>
      </c>
    </row>
    <row r="47" spans="1:21" ht="15.6" x14ac:dyDescent="0.3">
      <c r="A47" s="8" t="s">
        <v>47</v>
      </c>
      <c r="N47" s="8" t="s">
        <v>66</v>
      </c>
      <c r="O47" s="8"/>
      <c r="P47" s="8"/>
      <c r="Q47" s="8"/>
      <c r="R47" s="8"/>
      <c r="S47" s="8"/>
      <c r="T47" s="8"/>
      <c r="U47" s="8"/>
    </row>
    <row r="48" spans="1:21" ht="15.6" x14ac:dyDescent="0.3">
      <c r="B48" s="8" t="s">
        <v>48</v>
      </c>
    </row>
    <row r="49" spans="1:22" x14ac:dyDescent="0.3">
      <c r="O49" s="1" t="s">
        <v>67</v>
      </c>
      <c r="Q49" t="s">
        <v>68</v>
      </c>
      <c r="U49" s="7" t="str">
        <f>SUBSTITUTE(O49,"World", "Excel")</f>
        <v>Hello Excel</v>
      </c>
    </row>
    <row r="50" spans="1:22" x14ac:dyDescent="0.3">
      <c r="B50" s="1">
        <v>2025</v>
      </c>
      <c r="C50" s="1" t="s">
        <v>6</v>
      </c>
      <c r="D50" s="1" t="s">
        <v>49</v>
      </c>
      <c r="E50" s="1"/>
      <c r="F50" t="s">
        <v>50</v>
      </c>
      <c r="J50" s="7" t="str">
        <f>B50&amp; C50&amp; D50</f>
        <v>2025:Excel Functions</v>
      </c>
      <c r="K50" s="7"/>
    </row>
    <row r="53" spans="1:22" ht="15.6" x14ac:dyDescent="0.3">
      <c r="A53" s="8" t="s">
        <v>51</v>
      </c>
      <c r="N53" s="8" t="s">
        <v>69</v>
      </c>
    </row>
    <row r="55" spans="1:22" x14ac:dyDescent="0.3">
      <c r="B55" t="s">
        <v>52</v>
      </c>
      <c r="J55" s="7" t="str">
        <f>_xlfn.TEXTJOIN(", ", TRUE, A1:A5)</f>
        <v>Name: HARSHITA PANDEY</v>
      </c>
      <c r="K55" s="7"/>
      <c r="L55" s="7"/>
      <c r="O55" s="1">
        <v>2020</v>
      </c>
      <c r="P55" s="1">
        <v>2025</v>
      </c>
      <c r="R55" t="s">
        <v>70</v>
      </c>
      <c r="U55" s="7" t="str">
        <f>REPLACE("Budget_2020_Report.xlsx", 8,4, "2025")</f>
        <v>Budget_2025_Report.xlsx</v>
      </c>
      <c r="V55" s="7"/>
    </row>
    <row r="58" spans="1:22" ht="15.6" x14ac:dyDescent="0.3">
      <c r="A58" s="8" t="s">
        <v>53</v>
      </c>
      <c r="N58" s="8" t="s">
        <v>71</v>
      </c>
    </row>
    <row r="60" spans="1:22" x14ac:dyDescent="0.3">
      <c r="B60" t="s">
        <v>57</v>
      </c>
      <c r="C60" t="s">
        <v>58</v>
      </c>
      <c r="D60" t="s">
        <v>6</v>
      </c>
      <c r="E60" t="s">
        <v>56</v>
      </c>
      <c r="J60" t="s">
        <v>57</v>
      </c>
      <c r="K60" t="s">
        <v>58</v>
      </c>
      <c r="L60" t="s">
        <v>59</v>
      </c>
      <c r="O60" s="1" t="s">
        <v>72</v>
      </c>
      <c r="P60" s="1"/>
      <c r="Q60" t="s">
        <v>73</v>
      </c>
      <c r="U60" s="7" t="s">
        <v>74</v>
      </c>
      <c r="V60" s="7"/>
    </row>
    <row r="61" spans="1:22" x14ac:dyDescent="0.3">
      <c r="B61" t="s">
        <v>54</v>
      </c>
      <c r="C61" t="s">
        <v>55</v>
      </c>
      <c r="J61" t="s">
        <v>54</v>
      </c>
      <c r="K61" t="s">
        <v>55</v>
      </c>
      <c r="L61" t="str">
        <f>_xlfn.CONCAT(Table25[[#This Row],[First_name]],Table25[[#This Row],[Last_name]])</f>
        <v>JahnviSingh</v>
      </c>
    </row>
    <row r="62" spans="1:22" x14ac:dyDescent="0.3">
      <c r="Q62" t="s">
        <v>75</v>
      </c>
      <c r="U62" s="7" t="str">
        <f>LEFT("ABC-123-XYZ",SEARCH("-","ABC-123-XYZ")-1)</f>
        <v>ABC</v>
      </c>
    </row>
    <row r="65" spans="1:9" ht="23.4" x14ac:dyDescent="0.45">
      <c r="B65" s="11" t="s">
        <v>76</v>
      </c>
      <c r="C65" s="12"/>
      <c r="D65" s="12"/>
      <c r="E65" s="12"/>
      <c r="F65" s="12"/>
      <c r="G65" s="12"/>
      <c r="H65" s="12"/>
    </row>
    <row r="66" spans="1:9" x14ac:dyDescent="0.3">
      <c r="A66" s="4" t="s">
        <v>77</v>
      </c>
    </row>
    <row r="68" spans="1:9" ht="15.6" x14ac:dyDescent="0.3">
      <c r="A68" s="8" t="s">
        <v>78</v>
      </c>
    </row>
    <row r="70" spans="1:9" x14ac:dyDescent="0.3">
      <c r="B70" s="10">
        <v>45678</v>
      </c>
      <c r="D70" t="s">
        <v>79</v>
      </c>
      <c r="H70" s="7" t="str">
        <f>TEXT(B70,"dd-mmm-yyyy")</f>
        <v>21-Jan-2025</v>
      </c>
      <c r="I70" s="7"/>
    </row>
    <row r="73" spans="1:9" ht="15.6" x14ac:dyDescent="0.3">
      <c r="A73" s="8" t="s">
        <v>80</v>
      </c>
    </row>
    <row r="75" spans="1:9" x14ac:dyDescent="0.3">
      <c r="B75" s="1">
        <v>12345</v>
      </c>
      <c r="D75" t="s">
        <v>81</v>
      </c>
      <c r="H75" s="7">
        <f>VALUE(B75)</f>
        <v>12345</v>
      </c>
    </row>
    <row r="78" spans="1:9" ht="15.6" x14ac:dyDescent="0.3">
      <c r="A78" s="8" t="s">
        <v>82</v>
      </c>
    </row>
    <row r="80" spans="1:9" x14ac:dyDescent="0.3">
      <c r="B80" s="1" t="s">
        <v>83</v>
      </c>
      <c r="D80" t="s">
        <v>84</v>
      </c>
      <c r="H80" s="7" t="str">
        <f>CLEAN(B80)</f>
        <v>HelloWorld</v>
      </c>
      <c r="I80" s="7"/>
    </row>
    <row r="83" spans="1:8" ht="15.6" x14ac:dyDescent="0.3">
      <c r="A83" s="8" t="s">
        <v>85</v>
      </c>
    </row>
    <row r="85" spans="1:8" x14ac:dyDescent="0.3">
      <c r="D85" t="s">
        <v>86</v>
      </c>
      <c r="H85" s="7" t="b">
        <f>EXACT("Excel", "excel")</f>
        <v>0</v>
      </c>
    </row>
    <row r="88" spans="1:8" ht="15.6" x14ac:dyDescent="0.3">
      <c r="A88" s="8" t="s">
        <v>87</v>
      </c>
    </row>
    <row r="90" spans="1:8" x14ac:dyDescent="0.3">
      <c r="B90" s="1">
        <v>1234.567</v>
      </c>
      <c r="D90" t="s">
        <v>88</v>
      </c>
      <c r="H90" s="7" t="str">
        <f>TEXT(B90, "#,##0.00")</f>
        <v>1,234.57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Pandey</dc:creator>
  <cp:lastModifiedBy>Harshita Pandey</cp:lastModifiedBy>
  <dcterms:created xsi:type="dcterms:W3CDTF">2025-12-31T04:53:06Z</dcterms:created>
  <dcterms:modified xsi:type="dcterms:W3CDTF">2025-12-31T06:42:46Z</dcterms:modified>
</cp:coreProperties>
</file>