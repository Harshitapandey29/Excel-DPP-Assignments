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2946982-B985-4D3D-B981-B00C2E6BC5B5}" xr6:coauthVersionLast="47" xr6:coauthVersionMax="47" xr10:uidLastSave="{00000000-0000-0000-0000-000000000000}"/>
  <bookViews>
    <workbookView xWindow="-108" yWindow="-108" windowWidth="23256" windowHeight="13176" xr2:uid="{C02C1EF0-F712-4A16-831F-9D71AB030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8" i="1" l="1"/>
  <c r="B149" i="1"/>
  <c r="C141" i="1"/>
  <c r="C131" i="1"/>
  <c r="C121" i="1"/>
  <c r="B107" i="1"/>
  <c r="B108" i="1"/>
  <c r="C92" i="1"/>
  <c r="C93" i="1"/>
  <c r="C94" i="1"/>
  <c r="C91" i="1"/>
  <c r="C80" i="1"/>
  <c r="C79" i="1"/>
  <c r="C78" i="1"/>
  <c r="C77" i="1"/>
  <c r="C76" i="1"/>
  <c r="C75" i="1"/>
  <c r="C74" i="1"/>
  <c r="D64" i="1"/>
  <c r="D65" i="1"/>
  <c r="C56" i="1"/>
  <c r="C57" i="1"/>
  <c r="I31" i="1"/>
  <c r="D25" i="1"/>
  <c r="F14" i="1"/>
  <c r="F15" i="1"/>
  <c r="F13" i="1"/>
  <c r="E15" i="1"/>
  <c r="E14" i="1"/>
  <c r="E13" i="1"/>
</calcChain>
</file>

<file path=xl/sharedStrings.xml><?xml version="1.0" encoding="utf-8"?>
<sst xmlns="http://schemas.openxmlformats.org/spreadsheetml/2006/main" count="154" uniqueCount="122">
  <si>
    <t>Assignment: TODAY(), NOW(), and DATEDIF in Excel</t>
  </si>
  <si>
    <t>Name: HARSHITA PANDEY</t>
  </si>
  <si>
    <t>Section 1: Understanding TODAY() and NOW()</t>
  </si>
  <si>
    <t>Question 1] What is the difference between TODAY() and NOW() in Excel? Provide an example of when you would use each function.</t>
  </si>
  <si>
    <t xml:space="preserve">Answer] </t>
  </si>
  <si>
    <r>
      <t>TODAY()</t>
    </r>
    <r>
      <rPr>
        <sz val="11"/>
        <color theme="1"/>
        <rFont val="Calibri"/>
        <family val="2"/>
        <scheme val="minor"/>
      </rPr>
      <t xml:space="preserve"> :</t>
    </r>
  </si>
  <si>
    <t xml:space="preserve"> Returns the current date only</t>
  </si>
  <si>
    <r>
      <t>NOW()</t>
    </r>
    <r>
      <rPr>
        <sz val="11"/>
        <color theme="1"/>
        <rFont val="Calibri"/>
        <family val="2"/>
        <scheme val="minor"/>
      </rPr>
      <t xml:space="preserve"> : </t>
    </r>
  </si>
  <si>
    <t>Returns the current date and time</t>
  </si>
  <si>
    <t>Example:</t>
  </si>
  <si>
    <t>student</t>
  </si>
  <si>
    <t>sub_date</t>
  </si>
  <si>
    <t>check_date</t>
  </si>
  <si>
    <t>check_date-time</t>
  </si>
  <si>
    <t>Rahul</t>
  </si>
  <si>
    <t>Anjali</t>
  </si>
  <si>
    <t>Simran</t>
  </si>
  <si>
    <t>For check_date we will use TODAY() , which will return current date only , ie. The date when the assignment is checked</t>
  </si>
  <si>
    <t>for check_date-time we will use NOW(), which will return current date and time, ie. The date along with time when the assignment is checked.</t>
  </si>
  <si>
    <t>Date</t>
  </si>
  <si>
    <t>days_left</t>
  </si>
  <si>
    <t>Question 2] If cell A1 contains the date 2026-06-10, write a formula using TODAY() to determine how many days are left until that date.</t>
  </si>
  <si>
    <t>TODAY() will subtract the todays date from future date</t>
  </si>
  <si>
    <r>
      <t xml:space="preserve">Therefore, </t>
    </r>
    <r>
      <rPr>
        <b/>
        <sz val="11"/>
        <color theme="1"/>
        <rFont val="Calibri"/>
        <family val="2"/>
        <scheme val="minor"/>
      </rPr>
      <t>161</t>
    </r>
    <r>
      <rPr>
        <sz val="11"/>
        <color theme="1"/>
        <rFont val="Calibri"/>
        <family val="2"/>
        <scheme val="minor"/>
      </rPr>
      <t xml:space="preserve"> days are left until 10-06-2026</t>
    </r>
  </si>
  <si>
    <t>Question 3] Write an Excel formula using NOW()  to display the current date and time in the format MM/DD/YYYY HH:MM AM/PM.</t>
  </si>
  <si>
    <r>
      <t xml:space="preserve">Current date &amp; time in format </t>
    </r>
    <r>
      <rPr>
        <sz val="10"/>
        <color theme="1"/>
        <rFont val="Arial Unicode MS"/>
      </rPr>
      <t xml:space="preserve">MM/DD/YYYY HH:MM AM/PM = </t>
    </r>
  </si>
  <si>
    <t xml:space="preserve">formula = </t>
  </si>
  <si>
    <t>"==TEXT(NOW(),"MM/DD/YYYY hh:mm AM/PM")"</t>
  </si>
  <si>
    <t>Question 4] If a cell contains = TODAY() , what will happen when the worksheet is reopened the next day? Explain</t>
  </si>
  <si>
    <r>
      <t xml:space="preserve">The date </t>
    </r>
    <r>
      <rPr>
        <b/>
        <sz val="11"/>
        <color theme="1"/>
        <rFont val="Calibri"/>
        <family val="2"/>
        <scheme val="minor"/>
      </rPr>
      <t>automatically updates</t>
    </r>
    <r>
      <rPr>
        <sz val="11"/>
        <color theme="1"/>
        <rFont val="Calibri"/>
        <family val="2"/>
        <scheme val="minor"/>
      </rPr>
      <t xml:space="preserve"> to the new current date because </t>
    </r>
    <r>
      <rPr>
        <sz val="10"/>
        <color theme="1"/>
        <rFont val="Arial Unicode MS"/>
      </rPr>
      <t>TODAY()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volatile function</t>
    </r>
    <r>
      <rPr>
        <sz val="11"/>
        <color theme="1"/>
        <rFont val="Calibri"/>
        <family val="2"/>
        <scheme val="minor"/>
      </rPr>
      <t>.</t>
    </r>
  </si>
  <si>
    <t>Question 5] You want to store a static date (today’s date) in a cell without it changing every day. What keyboard shortcut would you use?</t>
  </si>
  <si>
    <t>The shortcut key we will use to store a static date in a cell :</t>
  </si>
  <si>
    <r>
      <t xml:space="preserve">              </t>
    </r>
    <r>
      <rPr>
        <b/>
        <sz val="11"/>
        <color theme="1"/>
        <rFont val="Calibri"/>
        <family val="2"/>
        <scheme val="minor"/>
      </rPr>
      <t>Ctrl + ;</t>
    </r>
  </si>
  <si>
    <t>Section 2: Practical Applications of TODAY()</t>
  </si>
  <si>
    <t>example:</t>
  </si>
  <si>
    <t>Task name</t>
  </si>
  <si>
    <t>due date</t>
  </si>
  <si>
    <t>status</t>
  </si>
  <si>
    <t>Report submission</t>
  </si>
  <si>
    <t>project review</t>
  </si>
  <si>
    <t xml:space="preserve">Formula used: </t>
  </si>
  <si>
    <t>"=if(B56&lt;TODAY(),"Overdue", "On Time")"</t>
  </si>
  <si>
    <t>This formula compares the task due date with the current date. If the due date has already passed, the task is marked as overdue; otherwise, it is considered on time.</t>
  </si>
  <si>
    <t>Question 6]  Suppose you are project deadlines, and column B contains tasks due dates. Write a formula that checks if the task is overdue by comparing the due dates with todays date.</t>
  </si>
  <si>
    <t>employee</t>
  </si>
  <si>
    <t>joining date</t>
  </si>
  <si>
    <t>Question 7] A company wants to calculate the year of service for employees based on their joining dates in column C.  Write a formula using TODAY() that calculates the number of complete years worked.</t>
  </si>
  <si>
    <t>Vaibhav</t>
  </si>
  <si>
    <t>YOS</t>
  </si>
  <si>
    <t>"=DATEDIF(C64, TODAY(), "Y")"</t>
  </si>
  <si>
    <t>Formula Used :</t>
  </si>
  <si>
    <t>This formula calculates the number of complete years an employee has worked by finding the difference between the joining date and today’s date.</t>
  </si>
  <si>
    <r>
      <t xml:space="preserve">Therefore, Rahul has completed </t>
    </r>
    <r>
      <rPr>
        <b/>
        <sz val="11"/>
        <color theme="1"/>
        <rFont val="Calibri"/>
        <family val="2"/>
        <scheme val="minor"/>
      </rPr>
      <t>7 year</t>
    </r>
    <r>
      <rPr>
        <sz val="11"/>
        <color theme="1"/>
        <rFont val="Calibri"/>
        <family val="2"/>
        <scheme val="minor"/>
      </rPr>
      <t xml:space="preserve">, and Vaibhav has completed </t>
    </r>
    <r>
      <rPr>
        <b/>
        <sz val="11"/>
        <color theme="1"/>
        <rFont val="Calibri"/>
        <family val="2"/>
        <scheme val="minor"/>
      </rPr>
      <t>5 years</t>
    </r>
    <r>
      <rPr>
        <sz val="11"/>
        <color theme="1"/>
        <rFont val="Calibri"/>
        <family val="2"/>
        <scheme val="minor"/>
      </rPr>
      <t xml:space="preserve">. </t>
    </r>
  </si>
  <si>
    <t xml:space="preserve">Question 8] </t>
  </si>
  <si>
    <t>Write a conditional formatting rule formula that highlights all due dates (Column B) that have already passed.</t>
  </si>
  <si>
    <t>API Integration</t>
  </si>
  <si>
    <t>Testing Phase</t>
  </si>
  <si>
    <t>UI Design</t>
  </si>
  <si>
    <t>Backend Development</t>
  </si>
  <si>
    <t>Database Setup</t>
  </si>
  <si>
    <t>Formula used:</t>
  </si>
  <si>
    <t>"=B74 &lt; TODAY()"</t>
  </si>
  <si>
    <t>Section 3: Practical Applications of NOW()</t>
  </si>
  <si>
    <t xml:space="preserve">Question 9] </t>
  </si>
  <si>
    <t>You want to create a timestamp that records the exact time when a user enters data in column D. What formula should you use, and what potential issue might occur if the worksheet is recalculated?</t>
  </si>
  <si>
    <t>action</t>
  </si>
  <si>
    <t>timestamp</t>
  </si>
  <si>
    <t>Tina</t>
  </si>
  <si>
    <t>anjali</t>
  </si>
  <si>
    <t>aman</t>
  </si>
  <si>
    <t>login</t>
  </si>
  <si>
    <t>form submitted</t>
  </si>
  <si>
    <t>profile updated</t>
  </si>
  <si>
    <t>password change</t>
  </si>
  <si>
    <t>Column1</t>
  </si>
  <si>
    <t>Column2</t>
  </si>
  <si>
    <t>Column3</t>
  </si>
  <si>
    <t>"=Now()"</t>
  </si>
  <si>
    <t>Column B records the action entered by the user</t>
  </si>
  <si>
    <r>
      <t>Column C automatically captures the</t>
    </r>
    <r>
      <rPr>
        <b/>
        <sz val="11"/>
        <color theme="1"/>
        <rFont val="Calibri"/>
        <family val="2"/>
        <scheme val="minor"/>
      </rPr>
      <t xml:space="preserve"> current date and time</t>
    </r>
  </si>
  <si>
    <r>
      <t>NOW()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volatile function</t>
    </r>
  </si>
  <si>
    <r>
      <t xml:space="preserve">The timestamp </t>
    </r>
    <r>
      <rPr>
        <b/>
        <sz val="11"/>
        <color theme="1"/>
        <rFont val="Calibri"/>
        <family val="2"/>
        <scheme val="minor"/>
      </rPr>
      <t>changes whenever the worksheet recalculates</t>
    </r>
  </si>
  <si>
    <r>
      <t xml:space="preserve">Therefore, it </t>
    </r>
    <r>
      <rPr>
        <b/>
        <sz val="11"/>
        <color theme="1"/>
        <rFont val="Calibri"/>
        <family val="2"/>
        <scheme val="minor"/>
      </rPr>
      <t>does not store a permanent timestamp</t>
    </r>
  </si>
  <si>
    <t>Potential Issue:</t>
  </si>
  <si>
    <t>Question 10]</t>
  </si>
  <si>
    <t>Write an Excel formula to determine the number of hours that have passed between a given timestamp in cell A1 and the current time (NOW() ).</t>
  </si>
  <si>
    <t>Timestamp</t>
  </si>
  <si>
    <t>hour passed</t>
  </si>
  <si>
    <t>"=(now()-A107)*24"</t>
  </si>
  <si>
    <t>The formula calculates the number of hours between a given timestamp and the current time by subtracting the timestamps and converting the result from days to hours.</t>
  </si>
  <si>
    <t>Therefore, the hour passed for the timestamp - 31-12-2025 08:00  = 85.15 hours</t>
  </si>
  <si>
    <t>and the hour passed for the timestamp - 31-12-2025 10:30 = 82.67 hours</t>
  </si>
  <si>
    <t>after this, select the column hour passed and press ctr+1 , click number and select to 2 decimal place for correct display.</t>
  </si>
  <si>
    <t>Section 4: Using DATEDIF for Date Calculation1</t>
  </si>
  <si>
    <t xml:space="preserve">Question 11] </t>
  </si>
  <si>
    <t>If cell A1 contains 01/01/2010 and cell B2 contains 02/15/2025 , write a formula using DATEDIF() to calculate the number of complete years between these dates.</t>
  </si>
  <si>
    <t>Answer]</t>
  </si>
  <si>
    <t>completed years</t>
  </si>
  <si>
    <t>02-15-2025</t>
  </si>
  <si>
    <t>"=DATEDIF(DATE(2010,1,1), DATE(2025,2,15), "Y")"</t>
  </si>
  <si>
    <r>
      <t xml:space="preserve">This means </t>
    </r>
    <r>
      <rPr>
        <b/>
        <sz val="11"/>
        <color theme="1"/>
        <rFont val="Calibri"/>
        <family val="2"/>
        <scheme val="minor"/>
      </rPr>
      <t>15 complete years</t>
    </r>
    <r>
      <rPr>
        <sz val="11"/>
        <color theme="1"/>
        <rFont val="Calibri"/>
        <family val="2"/>
        <scheme val="minor"/>
      </rPr>
      <t xml:space="preserve"> have passed between the two dates.</t>
    </r>
  </si>
  <si>
    <t>Question 12]</t>
  </si>
  <si>
    <t>Modify the formula from question 11 to calculate only the number of full months betweenn these two dates.</t>
  </si>
  <si>
    <t>completed months</t>
  </si>
  <si>
    <t>"=DATEDIF(DATE(2010,1,1), DATE(2025,2,15), "M")"</t>
  </si>
  <si>
    <r>
      <t xml:space="preserve">This means </t>
    </r>
    <r>
      <rPr>
        <b/>
        <sz val="11"/>
        <color theme="1"/>
        <rFont val="Calibri"/>
        <family val="2"/>
        <scheme val="minor"/>
      </rPr>
      <t>181 Months</t>
    </r>
    <r>
      <rPr>
        <sz val="11"/>
        <color theme="1"/>
        <rFont val="Calibri"/>
        <family val="2"/>
        <scheme val="minor"/>
      </rPr>
      <t xml:space="preserve"> have passed between two dates.</t>
    </r>
  </si>
  <si>
    <t xml:space="preserve">Question 13] </t>
  </si>
  <si>
    <t>You need to calculate number of days between two dates (ignoring the years). Write a DATEDIF() formula that find  the number of days between 03/10/2022 and 06/25/2025, ignoring years.</t>
  </si>
  <si>
    <t>Date _1</t>
  </si>
  <si>
    <t>Date_2</t>
  </si>
  <si>
    <t>06/25/2025</t>
  </si>
  <si>
    <t>Days</t>
  </si>
  <si>
    <t>"=DATEDIF(DATE(2022,3,10), DATE(2025,6,25), "MD")"</t>
  </si>
  <si>
    <t xml:space="preserve">Question 14] </t>
  </si>
  <si>
    <t>Write an excel formula using DATEDIF() to determine a person's exact age in years, months, and days if their birthdate is in cell A1.</t>
  </si>
  <si>
    <t>Birthdate</t>
  </si>
  <si>
    <t>exact_age</t>
  </si>
  <si>
    <t>"=DATEDIF(A149, TODAY(), "Y") &amp; "  Years, " &amp; DATEDIF(A149, TODAY(), " YM") &amp; " Months, " &amp; DATEDIF(A149, TODAY(). "MD")&amp; " Days""</t>
  </si>
  <si>
    <r>
      <t xml:space="preserve">This means the person is </t>
    </r>
    <r>
      <rPr>
        <b/>
        <sz val="11"/>
        <color theme="1"/>
        <rFont val="Calibri"/>
        <family val="2"/>
        <scheme val="minor"/>
      </rPr>
      <t>23 years 4 months and 20 days</t>
    </r>
    <r>
      <rPr>
        <sz val="11"/>
        <color theme="1"/>
        <rFont val="Calibri"/>
        <family val="2"/>
        <scheme val="minor"/>
      </rPr>
      <t xml:space="preserve"> old.</t>
    </r>
  </si>
  <si>
    <t>Section 5: Advanced Usage</t>
  </si>
  <si>
    <t xml:space="preserve">Question 15] </t>
  </si>
  <si>
    <t>Write a formula that displays a message like: Today is Monday, January 22, 2025, and the current time is 02:45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</si>
</sst>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Bahnschrift Light"/>
      <family val="2"/>
    </font>
    <font>
      <b/>
      <u/>
      <sz val="14"/>
      <color theme="5" tint="-0.249977111117893"/>
      <name val="Arial"/>
      <family val="2"/>
    </font>
    <font>
      <u/>
      <sz val="14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NumberForma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2" fontId="0" fillId="0" borderId="0" xfId="0" applyNumberFormat="1"/>
    <xf numFmtId="0" fontId="1" fillId="3" borderId="0" xfId="0" applyFont="1" applyFill="1"/>
    <xf numFmtId="0" fontId="0" fillId="3" borderId="0" xfId="0" quotePrefix="1" applyFill="1"/>
  </cellXfs>
  <cellStyles count="1">
    <cellStyle name="Normal" xfId="0" builtinId="0"/>
  </cellStyles>
  <dxfs count="24"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numFmt numFmtId="19" formatCode="dd/mm/yyyy"/>
    </dxf>
    <dxf>
      <numFmt numFmtId="2" formatCode="0.00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9F615-3C84-4BC3-BAE1-C2B229514581}" name="Table1" displayName="Table1" ref="C12:F15" totalsRowShown="0">
  <autoFilter ref="C12:F15" xr:uid="{0BE9F615-3C84-4BC3-BAE1-C2B229514581}"/>
  <tableColumns count="4">
    <tableColumn id="1" xr3:uid="{C2DFCAD2-2B74-4532-B674-39CDEC67010B}" name="student"/>
    <tableColumn id="2" xr3:uid="{B9EC3599-0C77-44A3-8B97-F4A6181EB218}" name="sub_date" dataDxfId="23"/>
    <tableColumn id="3" xr3:uid="{486E5B3B-BBE8-4F02-8CF4-2BB5A7F78120}" name="check_date" dataDxfId="22">
      <calculatedColumnFormula>TODAY()</calculatedColumnFormula>
    </tableColumn>
    <tableColumn id="4" xr3:uid="{3D4073D4-B384-4851-BE17-F50F968C045D}" name="check_date-time" dataDxfId="21">
      <calculatedColumnFormula>NOW()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1768BF-FD42-45C6-BC4C-3AF7C990F595}" name="Table2" displayName="Table2" ref="C24:D25" totalsRowShown="0">
  <autoFilter ref="C24:D25" xr:uid="{BD1768BF-FD42-45C6-BC4C-3AF7C990F595}"/>
  <tableColumns count="2">
    <tableColumn id="1" xr3:uid="{FC6E7583-3527-48CD-9C1C-621D089A3444}" name="Date" dataDxfId="20"/>
    <tableColumn id="2" xr3:uid="{33D326AA-1E9A-4717-B159-0DF559891714}" name="days_left" dataDxfId="19">
      <calculatedColumnFormula>TODAY()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D69F8D-55B5-4A39-872D-9A9F4B85A755}" name="Table3" displayName="Table3" ref="A55:C57" totalsRowShown="0">
  <autoFilter ref="A55:C57" xr:uid="{DED69F8D-55B5-4A39-872D-9A9F4B85A755}"/>
  <tableColumns count="3">
    <tableColumn id="1" xr3:uid="{53CC8FB9-6F88-494A-BAFD-B69501E8222C}" name="Task name"/>
    <tableColumn id="2" xr3:uid="{F27236CE-BC5F-483C-A6C2-87F2F90544E6}" name="due date" dataDxfId="18"/>
    <tableColumn id="3" xr3:uid="{ED3D7D08-242B-4BE3-9379-0262EA4E5ADD}" name="status" dataDxfId="17">
      <calculatedColumnFormula>IF(B56&lt;TODAY(),"Overdue","On Time")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00EA2A-7051-45CB-B051-5A03EC1BE0B2}" name="Table4" displayName="Table4" ref="B63:D65" totalsRowShown="0">
  <autoFilter ref="B63:D65" xr:uid="{4E00EA2A-7051-45CB-B051-5A03EC1BE0B2}"/>
  <tableColumns count="3">
    <tableColumn id="1" xr3:uid="{92EB3532-CA01-4E62-8618-0995EFE9AE1F}" name="employee"/>
    <tableColumn id="2" xr3:uid="{238D56CD-FA3A-4724-9C60-68C4E08BD16C}" name="joining date" dataDxfId="16"/>
    <tableColumn id="3" xr3:uid="{731F52C0-9812-4D5B-B0AE-D17590E41199}" name="YOS" dataDxfId="15">
      <calculatedColumnFormula>DATEDIF(Table4[[#This Row],[joining date]],TODAY(), "Y")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45EC68-921A-4BC8-892F-2412F8130D73}" name="Table36" displayName="Table36" ref="A73:C80" totalsRowShown="0">
  <autoFilter ref="A73:C80" xr:uid="{4345EC68-921A-4BC8-892F-2412F8130D73}"/>
  <tableColumns count="3">
    <tableColumn id="1" xr3:uid="{150262F4-3CA2-4C80-83C8-C3A80E13353B}" name="Task name"/>
    <tableColumn id="2" xr3:uid="{09936F59-960F-4712-A4CF-3CCBCDBDF4A7}" name="due date" dataDxfId="14"/>
    <tableColumn id="3" xr3:uid="{06DDAB1B-948C-4B85-82F6-9A61359B1046}" name="status" dataDxfId="13">
      <calculatedColumnFormula>IF(B74&lt;TODAY(),"Overdue","On Time")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2E0484-B59C-4FEF-A866-C78ACC704778}" name="Table6" displayName="Table6" ref="A89:C94" totalsRowShown="0">
  <autoFilter ref="A89:C94" xr:uid="{BB2E0484-B59C-4FEF-A866-C78ACC704778}"/>
  <tableColumns count="3">
    <tableColumn id="1" xr3:uid="{2F728976-ED38-4AA9-96C4-B3709B1A6903}" name="Column1"/>
    <tableColumn id="2" xr3:uid="{5962C82A-3744-417B-97D2-F72D5A9078E6}" name="Column2"/>
    <tableColumn id="3" xr3:uid="{9851C921-DEAC-48CA-8D84-0F96A884F91D}" name="Column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ECF634-97B5-46DC-BBC4-5C12AC41164D}" name="Table7" displayName="Table7" ref="A106:B108" totalsRowShown="0">
  <autoFilter ref="A106:B108" xr:uid="{DAECF634-97B5-46DC-BBC4-5C12AC41164D}"/>
  <tableColumns count="2">
    <tableColumn id="1" xr3:uid="{C8C8ABEF-30A0-46B4-9089-187F53599619}" name="Timestamp" dataDxfId="12"/>
    <tableColumn id="2" xr3:uid="{9336CEBC-6C10-4F5F-82C4-92E2E2669A81}" name="hour passed" dataDxfId="11">
      <calculatedColumnFormula>(NOW()-Table7[[#This Row],[Timestamp]])*24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CAB3BE-9449-4FF5-81AE-D6DC59FD0664}" name="Table8" displayName="Table8" ref="A120:C121" totalsRowShown="0">
  <autoFilter ref="A120:C121" xr:uid="{07CAB3BE-9449-4FF5-81AE-D6DC59FD0664}"/>
  <tableColumns count="3">
    <tableColumn id="1" xr3:uid="{E8CEC2AF-CB3A-4F0F-92D2-53FB222458F3}" name="Column1" dataDxfId="10"/>
    <tableColumn id="2" xr3:uid="{8F76C060-4FAE-4285-9FEA-8E98EC652BC4}" name="Column2"/>
    <tableColumn id="3" xr3:uid="{AFA588F6-043A-44E5-961A-4B29593E9A71}" name="completed years">
      <calculatedColumnFormula>DATEDIF(DATE(2010,1,1), DATE(2025,2,15), "Y")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E10743E-E91A-4F77-A557-973C4A8B5A97}" name="Table811" displayName="Table811" ref="A130:C131" totalsRowShown="0">
  <autoFilter ref="A130:C131" xr:uid="{7E10743E-E91A-4F77-A557-973C4A8B5A97}"/>
  <tableColumns count="3">
    <tableColumn id="1" xr3:uid="{FD96B85F-6D0E-492D-A16D-144049FD4A20}" name="Column1" dataDxfId="3"/>
    <tableColumn id="2" xr3:uid="{3DC0EB02-3900-47D6-BF7D-917029AD23DA}" name="Column2"/>
    <tableColumn id="4" xr3:uid="{84358CE1-22FC-4ED2-B83F-359826FFD551}" name="completed months">
      <calculatedColumnFormula>DATEDIF(DATE(2010,1,1), DATE(2025,2,15), "M")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21B56C-39B2-443E-A2FB-CB642BE2A5E7}" name="Table11" displayName="Table11" ref="A140:C141" totalsRowShown="0">
  <autoFilter ref="A140:C141" xr:uid="{2421B56C-39B2-443E-A2FB-CB642BE2A5E7}"/>
  <tableColumns count="3">
    <tableColumn id="1" xr3:uid="{C7FAC7F5-8C07-42A5-9B15-384F2FCF9634}" name="Date _1" dataDxfId="2"/>
    <tableColumn id="2" xr3:uid="{B47A3290-18A5-4A7B-94F0-7CC75E3ED7FE}" name="Date_2"/>
    <tableColumn id="3" xr3:uid="{1B4978E6-2F64-4987-B929-3FAF3022797D}" name="Days" dataDxfId="1">
      <calculatedColumnFormula>DATEDIF(DATE(2022,3,10), DATE(2025,6,25), "MD")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032768-D9BF-4702-8652-40009B32E746}" name="Table12" displayName="Table12" ref="A148:B149" totalsRowShown="0">
  <autoFilter ref="A148:B149" xr:uid="{7E032768-D9BF-4702-8652-40009B32E746}"/>
  <tableColumns count="2">
    <tableColumn id="1" xr3:uid="{17D66669-9FAA-452A-A71A-0618029D9B79}" name="Birthdate" dataDxfId="0"/>
    <tableColumn id="2" xr3:uid="{94D20BB2-929F-4513-9C21-FB8F2C63EFD1}" name="exact_age">
      <calculatedColumnFormula>DATEDIF(Table12[[#This Row],[Birthdate]],TODAY(),"Y") &amp; " Years, " &amp; DATEDIF(Table12[[#This Row],[Birthdate]],TODAY(), "YM") &amp; " Months, " &amp; DATEDIF(Table12[[#This Row],[Birthdate]],TODAY(), "MD") &amp; " Days"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E186-6570-44E5-8324-50C612F981B4}">
  <dimension ref="A2:Q158"/>
  <sheetViews>
    <sheetView tabSelected="1" topLeftCell="A21" workbookViewId="0">
      <selection activeCell="B166" sqref="B166"/>
    </sheetView>
  </sheetViews>
  <sheetFormatPr defaultRowHeight="14.4"/>
  <cols>
    <col min="1" max="1" width="15.44140625" customWidth="1"/>
    <col min="2" max="2" width="23.6640625" customWidth="1"/>
    <col min="3" max="3" width="16.44140625" customWidth="1"/>
    <col min="4" max="4" width="12.109375" customWidth="1"/>
    <col min="5" max="5" width="12.5546875" customWidth="1"/>
    <col min="6" max="6" width="17" customWidth="1"/>
  </cols>
  <sheetData>
    <row r="2" spans="1:16" ht="27.6">
      <c r="F2" s="1" t="s">
        <v>0</v>
      </c>
      <c r="G2" s="1"/>
      <c r="H2" s="1"/>
      <c r="I2" s="1"/>
      <c r="J2" s="1"/>
      <c r="K2" s="2"/>
      <c r="L2" s="2"/>
      <c r="M2" s="2"/>
      <c r="N2" s="2"/>
      <c r="O2" s="2"/>
      <c r="P2" s="2"/>
    </row>
    <row r="3" spans="1:16">
      <c r="A3" s="3" t="s">
        <v>1</v>
      </c>
      <c r="B3" s="3"/>
    </row>
    <row r="5" spans="1:16" ht="18">
      <c r="A5" s="4" t="s">
        <v>2</v>
      </c>
      <c r="B5" s="4"/>
      <c r="C5" s="4"/>
      <c r="D5" s="4"/>
      <c r="E5" s="4"/>
      <c r="F5" s="5"/>
      <c r="G5" s="5"/>
      <c r="H5" s="5"/>
    </row>
    <row r="7" spans="1:16" ht="15.6">
      <c r="A7" s="6" t="s">
        <v>3</v>
      </c>
    </row>
    <row r="9" spans="1:16">
      <c r="A9" s="3" t="s">
        <v>4</v>
      </c>
      <c r="B9" s="7" t="s">
        <v>5</v>
      </c>
      <c r="C9" t="s">
        <v>6</v>
      </c>
    </row>
    <row r="10" spans="1:16">
      <c r="B10" s="7" t="s">
        <v>7</v>
      </c>
      <c r="C10" t="s">
        <v>8</v>
      </c>
    </row>
    <row r="12" spans="1:16">
      <c r="B12" s="3" t="s">
        <v>9</v>
      </c>
      <c r="C12" t="s">
        <v>10</v>
      </c>
      <c r="D12" t="s">
        <v>11</v>
      </c>
      <c r="E12" t="s">
        <v>12</v>
      </c>
      <c r="F12" t="s">
        <v>13</v>
      </c>
    </row>
    <row r="13" spans="1:16">
      <c r="C13" t="s">
        <v>14</v>
      </c>
      <c r="D13" s="8">
        <v>46019</v>
      </c>
      <c r="E13" s="8">
        <f ca="1">TODAY()</f>
        <v>46026</v>
      </c>
      <c r="F13" s="9">
        <f ca="1">NOW()</f>
        <v>46026.710300810184</v>
      </c>
    </row>
    <row r="14" spans="1:16">
      <c r="C14" t="s">
        <v>15</v>
      </c>
      <c r="D14" s="8">
        <v>46021</v>
      </c>
      <c r="E14" s="8">
        <f ca="1">TODAY()</f>
        <v>46026</v>
      </c>
      <c r="F14" s="9">
        <f t="shared" ref="F14:F15" ca="1" si="0">NOW()</f>
        <v>46026.710300810184</v>
      </c>
    </row>
    <row r="15" spans="1:16">
      <c r="C15" t="s">
        <v>16</v>
      </c>
      <c r="D15" s="8">
        <v>46020</v>
      </c>
      <c r="E15" s="8">
        <f ca="1">TODAY()</f>
        <v>46026</v>
      </c>
      <c r="F15" s="9">
        <f t="shared" ca="1" si="0"/>
        <v>46026.710300810184</v>
      </c>
    </row>
    <row r="17" spans="1:10">
      <c r="B17" t="s">
        <v>17</v>
      </c>
    </row>
    <row r="18" spans="1:10">
      <c r="B18" t="s">
        <v>18</v>
      </c>
    </row>
    <row r="22" spans="1:10" ht="15.6">
      <c r="A22" s="6" t="s">
        <v>21</v>
      </c>
    </row>
    <row r="23" spans="1:10">
      <c r="A23" s="10"/>
    </row>
    <row r="24" spans="1:10">
      <c r="A24" s="3" t="s">
        <v>4</v>
      </c>
      <c r="C24" t="s">
        <v>19</v>
      </c>
      <c r="D24" t="s">
        <v>20</v>
      </c>
      <c r="F24" t="s">
        <v>22</v>
      </c>
    </row>
    <row r="25" spans="1:10">
      <c r="C25" s="8">
        <v>46183</v>
      </c>
      <c r="D25" s="8">
        <f ca="1">TODAY()</f>
        <v>46026</v>
      </c>
      <c r="F25" t="s">
        <v>23</v>
      </c>
    </row>
    <row r="29" spans="1:10" ht="15.6">
      <c r="A29" s="6" t="s">
        <v>24</v>
      </c>
    </row>
    <row r="31" spans="1:10">
      <c r="A31" s="3" t="s">
        <v>4</v>
      </c>
      <c r="C31" t="s">
        <v>25</v>
      </c>
      <c r="I31" s="11" t="str">
        <f ca="1">TEXT(NOW(),"MM/DD/YYYY hh:mm AM/PM")</f>
        <v>01/04/2026 05:02 PM</v>
      </c>
      <c r="J31" s="11"/>
    </row>
    <row r="33" spans="1:8">
      <c r="C33" s="3" t="s">
        <v>26</v>
      </c>
      <c r="D33" s="3" t="s">
        <v>27</v>
      </c>
      <c r="E33" s="3"/>
      <c r="F33" s="3"/>
    </row>
    <row r="37" spans="1:8" ht="15.6">
      <c r="A37" s="6" t="s">
        <v>28</v>
      </c>
    </row>
    <row r="39" spans="1:8">
      <c r="A39" s="3" t="s">
        <v>4</v>
      </c>
      <c r="B39" s="11" t="s">
        <v>29</v>
      </c>
      <c r="C39" s="11"/>
      <c r="D39" s="11"/>
      <c r="E39" s="11"/>
      <c r="F39" s="11"/>
      <c r="G39" s="11"/>
      <c r="H39" s="11"/>
    </row>
    <row r="43" spans="1:8" ht="15.6">
      <c r="A43" s="6" t="s">
        <v>30</v>
      </c>
    </row>
    <row r="45" spans="1:8">
      <c r="A45" s="3" t="s">
        <v>4</v>
      </c>
      <c r="B45" t="s">
        <v>31</v>
      </c>
    </row>
    <row r="46" spans="1:8">
      <c r="F46" s="11" t="s">
        <v>32</v>
      </c>
    </row>
    <row r="50" spans="1:9" ht="17.399999999999999">
      <c r="A50" s="4" t="s">
        <v>33</v>
      </c>
    </row>
    <row r="52" spans="1:9" ht="15.6">
      <c r="A52" s="6" t="s">
        <v>43</v>
      </c>
    </row>
    <row r="53" spans="1:9">
      <c r="A53" t="s">
        <v>34</v>
      </c>
    </row>
    <row r="54" spans="1:9">
      <c r="E54" t="s">
        <v>40</v>
      </c>
      <c r="F54" s="17" t="s">
        <v>41</v>
      </c>
      <c r="G54" s="17"/>
      <c r="H54" s="17"/>
      <c r="I54" s="11"/>
    </row>
    <row r="55" spans="1:9">
      <c r="A55" t="s">
        <v>35</v>
      </c>
      <c r="B55" t="s">
        <v>36</v>
      </c>
      <c r="C55" t="s">
        <v>37</v>
      </c>
    </row>
    <row r="56" spans="1:9">
      <c r="A56" t="s">
        <v>38</v>
      </c>
      <c r="B56" s="8">
        <v>45818</v>
      </c>
      <c r="C56" t="str">
        <f t="shared" ref="C56:C57" ca="1" si="1">IF(B56&lt;TODAY(),"Overdue","On Time")</f>
        <v>Overdue</v>
      </c>
      <c r="E56" t="s">
        <v>42</v>
      </c>
    </row>
    <row r="57" spans="1:9">
      <c r="A57" t="s">
        <v>39</v>
      </c>
      <c r="B57" s="8">
        <v>46037</v>
      </c>
      <c r="C57" t="str">
        <f t="shared" ca="1" si="1"/>
        <v>On Time</v>
      </c>
    </row>
    <row r="61" spans="1:9" ht="15.6">
      <c r="A61" s="6" t="s">
        <v>46</v>
      </c>
    </row>
    <row r="63" spans="1:9">
      <c r="A63" s="3" t="s">
        <v>4</v>
      </c>
      <c r="B63" t="s">
        <v>44</v>
      </c>
      <c r="C63" t="s">
        <v>45</v>
      </c>
      <c r="D63" t="s">
        <v>48</v>
      </c>
      <c r="F63" t="s">
        <v>50</v>
      </c>
      <c r="G63" s="17" t="s">
        <v>49</v>
      </c>
      <c r="H63" s="17"/>
      <c r="I63" s="17"/>
    </row>
    <row r="64" spans="1:9">
      <c r="B64" t="s">
        <v>14</v>
      </c>
      <c r="C64" s="8">
        <v>43327</v>
      </c>
      <c r="D64">
        <f ca="1">DATEDIF(Table4[[#This Row],[joining date]],TODAY(), "Y")</f>
        <v>7</v>
      </c>
    </row>
    <row r="65" spans="1:9">
      <c r="B65" t="s">
        <v>47</v>
      </c>
      <c r="C65" s="8">
        <v>44197</v>
      </c>
      <c r="D65">
        <f ca="1">DATEDIF(Table4[[#This Row],[joining date]],TODAY(), "Y")</f>
        <v>5</v>
      </c>
      <c r="F65" t="s">
        <v>51</v>
      </c>
    </row>
    <row r="67" spans="1:9">
      <c r="B67" t="s">
        <v>52</v>
      </c>
    </row>
    <row r="70" spans="1:9" ht="15.6">
      <c r="A70" s="6" t="s">
        <v>53</v>
      </c>
      <c r="B70" s="6" t="s">
        <v>54</v>
      </c>
      <c r="C70" s="6"/>
      <c r="D70" s="6"/>
      <c r="E70" s="6"/>
      <c r="F70" s="6"/>
      <c r="G70" s="6"/>
      <c r="H70" s="6"/>
      <c r="I70" s="6"/>
    </row>
    <row r="72" spans="1:9">
      <c r="A72" s="3" t="s">
        <v>4</v>
      </c>
    </row>
    <row r="73" spans="1:9">
      <c r="A73" t="s">
        <v>35</v>
      </c>
      <c r="B73" t="s">
        <v>36</v>
      </c>
      <c r="C73" t="s">
        <v>37</v>
      </c>
      <c r="E73" t="s">
        <v>60</v>
      </c>
      <c r="F73" s="17" t="s">
        <v>61</v>
      </c>
    </row>
    <row r="74" spans="1:9">
      <c r="A74" t="s">
        <v>38</v>
      </c>
      <c r="B74" s="8">
        <v>45818</v>
      </c>
      <c r="C74" t="str">
        <f t="shared" ref="C74:C75" ca="1" si="2">IF(B74&lt;TODAY(),"Overdue","On Time")</f>
        <v>Overdue</v>
      </c>
    </row>
    <row r="75" spans="1:9">
      <c r="A75" t="s">
        <v>39</v>
      </c>
      <c r="B75" s="8">
        <v>46037</v>
      </c>
      <c r="C75" t="str">
        <f t="shared" ca="1" si="2"/>
        <v>On Time</v>
      </c>
    </row>
    <row r="76" spans="1:9">
      <c r="A76" t="s">
        <v>55</v>
      </c>
      <c r="B76" s="8">
        <v>46086</v>
      </c>
      <c r="C76" s="12" t="str">
        <f ca="1">IF(B76&lt;TODAY(),"Overdue","On Time")</f>
        <v>On Time</v>
      </c>
    </row>
    <row r="77" spans="1:9">
      <c r="A77" t="s">
        <v>56</v>
      </c>
      <c r="B77" s="8">
        <v>46137</v>
      </c>
      <c r="C77" s="12" t="str">
        <f ca="1">IF(B77&lt;TODAY(),"Overdue","On Time")</f>
        <v>On Time</v>
      </c>
    </row>
    <row r="78" spans="1:9">
      <c r="A78" t="s">
        <v>57</v>
      </c>
      <c r="B78" s="8">
        <v>45826</v>
      </c>
      <c r="C78" s="12" t="str">
        <f ca="1">IF(B78&lt;TODAY(),"Overdue","On Time")</f>
        <v>Overdue</v>
      </c>
    </row>
    <row r="79" spans="1:9">
      <c r="A79" t="s">
        <v>58</v>
      </c>
      <c r="B79" s="8">
        <v>46042</v>
      </c>
      <c r="C79" s="12" t="str">
        <f ca="1">IF(B79&lt;TODAY(),"Overdue","On Time")</f>
        <v>On Time</v>
      </c>
    </row>
    <row r="80" spans="1:9">
      <c r="A80" t="s">
        <v>59</v>
      </c>
      <c r="B80" s="8">
        <v>45992</v>
      </c>
      <c r="C80" s="12" t="str">
        <f ca="1">IF(B80&lt;TODAY(),"Overdue","On Time")</f>
        <v>Overdue</v>
      </c>
    </row>
    <row r="84" spans="1:17" ht="17.399999999999999">
      <c r="A84" s="4" t="s">
        <v>62</v>
      </c>
    </row>
    <row r="86" spans="1:17" ht="15.6">
      <c r="A86" s="6" t="s">
        <v>63</v>
      </c>
      <c r="B86" s="6" t="s">
        <v>64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8" spans="1:17">
      <c r="A88" s="3" t="s">
        <v>4</v>
      </c>
      <c r="B88" t="s">
        <v>9</v>
      </c>
    </row>
    <row r="89" spans="1:17">
      <c r="A89" t="s">
        <v>74</v>
      </c>
      <c r="B89" t="s">
        <v>75</v>
      </c>
      <c r="C89" t="s">
        <v>76</v>
      </c>
      <c r="E89" t="s">
        <v>60</v>
      </c>
      <c r="F89" s="17" t="s">
        <v>77</v>
      </c>
    </row>
    <row r="90" spans="1:17">
      <c r="A90" t="s">
        <v>44</v>
      </c>
      <c r="B90" t="s">
        <v>65</v>
      </c>
      <c r="C90" t="s">
        <v>66</v>
      </c>
    </row>
    <row r="91" spans="1:17">
      <c r="A91" t="s">
        <v>14</v>
      </c>
      <c r="B91" t="s">
        <v>70</v>
      </c>
      <c r="C91" s="9">
        <f ca="1">NOW()</f>
        <v>46026.710300810184</v>
      </c>
      <c r="E91" t="s">
        <v>78</v>
      </c>
    </row>
    <row r="92" spans="1:17">
      <c r="A92" t="s">
        <v>67</v>
      </c>
      <c r="B92" t="s">
        <v>71</v>
      </c>
      <c r="C92" s="9">
        <f t="shared" ref="C92:C94" ca="1" si="3">NOW()</f>
        <v>46026.710300810184</v>
      </c>
      <c r="E92" t="s">
        <v>79</v>
      </c>
    </row>
    <row r="93" spans="1:17">
      <c r="A93" t="s">
        <v>68</v>
      </c>
      <c r="B93" t="s">
        <v>72</v>
      </c>
      <c r="C93" s="9">
        <f t="shared" ca="1" si="3"/>
        <v>46026.710300810184</v>
      </c>
    </row>
    <row r="94" spans="1:17">
      <c r="A94" t="s">
        <v>69</v>
      </c>
      <c r="B94" t="s">
        <v>73</v>
      </c>
      <c r="C94" s="9">
        <f t="shared" ca="1" si="3"/>
        <v>46026.710300810184</v>
      </c>
    </row>
    <row r="96" spans="1:17" ht="15.6">
      <c r="B96" s="15" t="s">
        <v>83</v>
      </c>
      <c r="C96" s="6"/>
      <c r="D96" s="6"/>
      <c r="E96" s="6"/>
    </row>
    <row r="97" spans="1:16">
      <c r="B97" s="13"/>
      <c r="C97" s="14" t="s">
        <v>80</v>
      </c>
    </row>
    <row r="98" spans="1:16">
      <c r="C98" s="13" t="s">
        <v>81</v>
      </c>
    </row>
    <row r="99" spans="1:16">
      <c r="B99" s="13"/>
      <c r="C99" s="13" t="s">
        <v>82</v>
      </c>
    </row>
    <row r="101" spans="1:16">
      <c r="B101" s="13"/>
    </row>
    <row r="103" spans="1:16" ht="15.6">
      <c r="A103" s="6" t="s">
        <v>84</v>
      </c>
      <c r="B103" s="6" t="s">
        <v>85</v>
      </c>
    </row>
    <row r="105" spans="1:16">
      <c r="A105" s="3" t="s">
        <v>4</v>
      </c>
      <c r="C105" t="s">
        <v>60</v>
      </c>
      <c r="D105" s="17" t="s">
        <v>88</v>
      </c>
      <c r="E105" s="17"/>
      <c r="F105" s="17" t="s">
        <v>92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spans="1:16">
      <c r="A106" t="s">
        <v>86</v>
      </c>
      <c r="B106" t="s">
        <v>87</v>
      </c>
    </row>
    <row r="107" spans="1:16">
      <c r="A107" s="9">
        <v>46022.333333333336</v>
      </c>
      <c r="B107" s="16">
        <f ca="1">(NOW()-Table7[[#This Row],[Timestamp]])*24</f>
        <v>105.04721944435732</v>
      </c>
      <c r="D107" t="s">
        <v>89</v>
      </c>
    </row>
    <row r="108" spans="1:16">
      <c r="A108" s="9">
        <v>46022.4375</v>
      </c>
      <c r="B108" s="16">
        <f ca="1">(NOW()-Table7[[#This Row],[Timestamp]])*24</f>
        <v>102.54721944441553</v>
      </c>
    </row>
    <row r="110" spans="1:16">
      <c r="B110" t="s">
        <v>90</v>
      </c>
    </row>
    <row r="111" spans="1:16">
      <c r="B111" t="s">
        <v>91</v>
      </c>
    </row>
    <row r="115" spans="1:9" ht="17.399999999999999">
      <c r="A115" s="4" t="s">
        <v>93</v>
      </c>
    </row>
    <row r="117" spans="1:9" ht="15.6">
      <c r="A117" s="6" t="s">
        <v>94</v>
      </c>
      <c r="B117" s="6" t="s">
        <v>95</v>
      </c>
    </row>
    <row r="119" spans="1:9">
      <c r="A119" s="3" t="s">
        <v>96</v>
      </c>
    </row>
    <row r="120" spans="1:9">
      <c r="A120" s="8" t="s">
        <v>74</v>
      </c>
      <c r="B120" t="s">
        <v>75</v>
      </c>
      <c r="C120" t="s">
        <v>97</v>
      </c>
      <c r="E120" t="s">
        <v>60</v>
      </c>
      <c r="F120" s="17" t="s">
        <v>99</v>
      </c>
      <c r="G120" s="17"/>
      <c r="H120" s="17"/>
      <c r="I120" s="17"/>
    </row>
    <row r="121" spans="1:9">
      <c r="A121" s="8">
        <v>40179</v>
      </c>
      <c r="B121" t="s">
        <v>98</v>
      </c>
      <c r="C121">
        <f>DATEDIF(DATE(2010,1,1), DATE(2025,2,15), "Y")</f>
        <v>15</v>
      </c>
    </row>
    <row r="123" spans="1:9">
      <c r="B123" t="s">
        <v>100</v>
      </c>
    </row>
    <row r="127" spans="1:9" ht="15.6">
      <c r="A127" s="6" t="s">
        <v>101</v>
      </c>
      <c r="B127" s="6" t="s">
        <v>102</v>
      </c>
    </row>
    <row r="129" spans="1:9">
      <c r="A129" s="3" t="s">
        <v>4</v>
      </c>
    </row>
    <row r="130" spans="1:9">
      <c r="A130" s="8" t="s">
        <v>74</v>
      </c>
      <c r="B130" t="s">
        <v>75</v>
      </c>
      <c r="C130" t="s">
        <v>103</v>
      </c>
      <c r="E130" t="s">
        <v>60</v>
      </c>
      <c r="F130" s="3" t="s">
        <v>104</v>
      </c>
      <c r="G130" s="3"/>
      <c r="H130" s="3"/>
      <c r="I130" s="3"/>
    </row>
    <row r="131" spans="1:9">
      <c r="A131" s="8">
        <v>40179</v>
      </c>
      <c r="B131" t="s">
        <v>98</v>
      </c>
      <c r="C131">
        <f>DATEDIF(DATE(2010,1,1), DATE(2025,2,15), "M")</f>
        <v>181</v>
      </c>
    </row>
    <row r="133" spans="1:9">
      <c r="B133" t="s">
        <v>105</v>
      </c>
    </row>
    <row r="137" spans="1:9" ht="15.6">
      <c r="A137" s="6" t="s">
        <v>106</v>
      </c>
      <c r="B137" s="6" t="s">
        <v>107</v>
      </c>
    </row>
    <row r="139" spans="1:9">
      <c r="A139" s="3" t="s">
        <v>96</v>
      </c>
    </row>
    <row r="140" spans="1:9">
      <c r="A140" t="s">
        <v>108</v>
      </c>
      <c r="B140" t="s">
        <v>109</v>
      </c>
      <c r="C140" t="s">
        <v>111</v>
      </c>
      <c r="E140" t="s">
        <v>60</v>
      </c>
      <c r="F140" s="3" t="s">
        <v>112</v>
      </c>
      <c r="G140" s="3"/>
      <c r="H140" s="3"/>
      <c r="I140" s="3"/>
    </row>
    <row r="141" spans="1:9">
      <c r="A141" s="8">
        <v>44837</v>
      </c>
      <c r="B141" t="s">
        <v>110</v>
      </c>
      <c r="C141">
        <f t="shared" ref="C141:C142" si="4">DATEDIF(DATE(2022,3,10), DATE(2025,6,25), "MD")</f>
        <v>15</v>
      </c>
    </row>
    <row r="142" spans="1:9">
      <c r="A142" s="8"/>
    </row>
    <row r="145" spans="1:16" ht="15.6">
      <c r="A145" s="6" t="s">
        <v>113</v>
      </c>
      <c r="B145" s="6" t="s">
        <v>114</v>
      </c>
    </row>
    <row r="147" spans="1:16">
      <c r="A147" s="3" t="s">
        <v>4</v>
      </c>
    </row>
    <row r="148" spans="1:16">
      <c r="A148" t="s">
        <v>115</v>
      </c>
      <c r="B148" t="s">
        <v>116</v>
      </c>
      <c r="D148" t="s">
        <v>60</v>
      </c>
      <c r="E148" s="3" t="s">
        <v>117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8">
        <v>37483</v>
      </c>
      <c r="B149" t="str">
        <f ca="1">DATEDIF(Table12[[#This Row],[Birthdate]],TODAY(),"Y") &amp; " Years, " &amp; DATEDIF(Table12[[#This Row],[Birthdate]],TODAY(), "YM") &amp; " Months, " &amp; DATEDIF(Table12[[#This Row],[Birthdate]],TODAY(), "MD") &amp; " Days"</f>
        <v>23 Years, 4 Months, 20 Days</v>
      </c>
    </row>
    <row r="151" spans="1:16">
      <c r="B151" t="s">
        <v>118</v>
      </c>
    </row>
    <row r="154" spans="1:16" ht="17.399999999999999">
      <c r="A154" s="4" t="s">
        <v>119</v>
      </c>
    </row>
    <row r="156" spans="1:16" ht="15.6">
      <c r="A156" s="6" t="s">
        <v>120</v>
      </c>
      <c r="B156" s="6" t="s">
        <v>121</v>
      </c>
    </row>
    <row r="158" spans="1:16">
      <c r="A158" s="3" t="s">
        <v>96</v>
      </c>
      <c r="B158" s="18" t="str">
        <f ca="1">"Today is "&amp;TEXT(TODAY(),"dddd, mmmm dd, yyyy")&amp;" and the current time is "&amp;TEXT(NOW(),"hh:mm AM/PM")</f>
        <v>Today is Sunday, January 04, 2026 and the current time is 05:02 PM</v>
      </c>
      <c r="C158" s="11"/>
      <c r="D158" s="11"/>
      <c r="E158" s="11"/>
    </row>
  </sheetData>
  <conditionalFormatting sqref="B74:B80">
    <cfRule type="expression" dxfId="4" priority="1">
      <formula>B74 &lt; TODAY()</formula>
    </cfRule>
  </conditionalFormatting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Pandey</dc:creator>
  <cp:lastModifiedBy>Harshita Pandey</cp:lastModifiedBy>
  <dcterms:created xsi:type="dcterms:W3CDTF">2025-12-31T06:47:32Z</dcterms:created>
  <dcterms:modified xsi:type="dcterms:W3CDTF">2026-01-04T11:38:39Z</dcterms:modified>
</cp:coreProperties>
</file>