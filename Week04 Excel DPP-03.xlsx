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FCB72BB-F3B1-442A-88FF-53503E0729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1" sheetId="2" r:id="rId1"/>
    <sheet name="Q2" sheetId="3" r:id="rId2"/>
    <sheet name="Q3" sheetId="4" r:id="rId3"/>
    <sheet name="Q4" sheetId="5" r:id="rId4"/>
    <sheet name="Q5" sheetId="6" r:id="rId5"/>
    <sheet name="Q6-Q9" sheetId="7" r:id="rId6"/>
    <sheet name="Sales_dates" sheetId="1" r:id="rId7"/>
  </sheets>
  <calcPr calcId="191029"/>
  <pivotCaches>
    <pivotCache cacheId="3" r:id="rId8"/>
    <pivotCache cacheId="1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7" l="1"/>
  <c r="B17" i="7" a="1"/>
  <c r="B17" i="7" s="1"/>
  <c r="B11" i="7"/>
  <c r="C5" i="7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<sst xmlns="http://schemas.openxmlformats.org/spreadsheetml/2006/main" count="2110" uniqueCount="94">
  <si>
    <t>ProductID</t>
  </si>
  <si>
    <t>ProductName</t>
  </si>
  <si>
    <t>Category</t>
  </si>
  <si>
    <t>Region</t>
  </si>
  <si>
    <t>Date</t>
  </si>
  <si>
    <t>UnitsSold</t>
  </si>
  <si>
    <t>UnitPrice</t>
  </si>
  <si>
    <t>Salesperson</t>
  </si>
  <si>
    <t>TotalSales</t>
  </si>
  <si>
    <t>Headphones</t>
  </si>
  <si>
    <t>Accessories</t>
  </si>
  <si>
    <t>South</t>
  </si>
  <si>
    <t>John</t>
  </si>
  <si>
    <t>Camera</t>
  </si>
  <si>
    <t>Electronics</t>
  </si>
  <si>
    <t>East</t>
  </si>
  <si>
    <t>Carlos</t>
  </si>
  <si>
    <t>Tablet</t>
  </si>
  <si>
    <t>North</t>
  </si>
  <si>
    <t>Sakshi</t>
  </si>
  <si>
    <t>Smartwatch</t>
  </si>
  <si>
    <t>West</t>
  </si>
  <si>
    <t>Monitor</t>
  </si>
  <si>
    <t>Amit</t>
  </si>
  <si>
    <t>Mouse</t>
  </si>
  <si>
    <t>Speaker</t>
  </si>
  <si>
    <t>Neha</t>
  </si>
  <si>
    <t>Mobile</t>
  </si>
  <si>
    <t>Fatima</t>
  </si>
  <si>
    <t>Riya</t>
  </si>
  <si>
    <t>Arjun</t>
  </si>
  <si>
    <t>Keyboard</t>
  </si>
  <si>
    <t>Laptop</t>
  </si>
  <si>
    <t>Row Labels</t>
  </si>
  <si>
    <t>Grand Total</t>
  </si>
  <si>
    <t>Sum of TotalSales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</si>
  <si>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</si>
  <si>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</si>
  <si>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</si>
  <si>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</si>
  <si>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</si>
  <si>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</si>
  <si>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</si>
  <si>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</si>
  <si>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</si>
  <si>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</si>
  <si>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</si>
  <si>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</si>
  <si>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</si>
  <si>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peak in March, July, and December, with December being the highest-performing month due to year-end demand or festive sales..</t>
  </si>
  <si>
    <t>February and November show sales dips, suggesting potential opportunities for targeted marketing.</t>
  </si>
  <si>
    <t>INSIGHTS:</t>
  </si>
  <si>
    <t>Question1]</t>
  </si>
  <si>
    <t>Using the dataset, summarize TotalSales by Region and create a Column Chart showing which region generated the highest revenue.</t>
  </si>
  <si>
    <t xml:space="preserve">Answer] </t>
  </si>
  <si>
    <t>The East region is the top revenue contributor among all regions.</t>
  </si>
  <si>
    <t>West region recorded the lowest revenue, indicating potential areas for targeted business growth.</t>
  </si>
  <si>
    <t xml:space="preserve">Question 2] </t>
  </si>
  <si>
    <t>Extract the Month from the Date column and visualize monthly TotalSales trends.</t>
  </si>
  <si>
    <t>Sum of UnitsSold</t>
  </si>
  <si>
    <t xml:space="preserve">Question 3] </t>
  </si>
  <si>
    <t>Identify top 5 products (based on units sold) and create a Bar Chart.</t>
  </si>
  <si>
    <t>Answer]</t>
  </si>
  <si>
    <t>The bar chart shows the top 5 best-selling products based on units sold, highlighting products with the highest customer demand.</t>
  </si>
  <si>
    <t>Camera is the best-performing product in terms of units sold.</t>
  </si>
  <si>
    <t>Speaker, while part of the top 5, has relatively lower sales and may benefit from targeted promotions.</t>
  </si>
  <si>
    <t>For filtering: Click the dropdown on ProductName</t>
  </si>
  <si>
    <t>Select Value Filters : Top 10</t>
  </si>
  <si>
    <t>Change to top 5</t>
  </si>
  <si>
    <t>Click OK</t>
  </si>
  <si>
    <t>This gives you the Top 5 products by total units sold</t>
  </si>
  <si>
    <t xml:space="preserve">Question 4] </t>
  </si>
  <si>
    <t>Represent how much of total revenue came from each Category.</t>
  </si>
  <si>
    <t>For converting values to percentage of total:</t>
  </si>
  <si>
    <t>Click on Sum of TotalSales in Pivot Table</t>
  </si>
  <si>
    <t>Select Value Field Settings</t>
  </si>
  <si>
    <t>Go to Show Values As : Choose % of Grand Total</t>
  </si>
  <si>
    <t>table will shows revenue contribution (%).</t>
  </si>
  <si>
    <t>Electronics is the highest revenue-generating category, contributing over half of total sales.</t>
  </si>
  <si>
    <t>Column Labels</t>
  </si>
  <si>
    <t xml:space="preserve">Question 5] </t>
  </si>
  <si>
    <t>Create a comparison chart using Region (x-axis) and Category (stacked segments).</t>
  </si>
  <si>
    <t>The East region is the highest revenue-generating region</t>
  </si>
  <si>
    <t xml:space="preserve">Question 6] </t>
  </si>
  <si>
    <t>Find Unit Price for a Given ProductID (XLOOKUP)</t>
  </si>
  <si>
    <t>product_id</t>
  </si>
  <si>
    <t>xlookup_value</t>
  </si>
  <si>
    <t xml:space="preserve">Question 7] </t>
  </si>
  <si>
    <t>Find the most recent sale date for Salesperson entered in H10.</t>
  </si>
  <si>
    <t>most recent sale date for the salesperson in H10.</t>
  </si>
  <si>
    <t xml:space="preserve">Question 8] </t>
  </si>
  <si>
    <t>Using Product ID return Product Name AND Category using XLOOKUP (Return Array)</t>
  </si>
  <si>
    <t xml:space="preserve">Question 9] </t>
  </si>
  <si>
    <t>Use INDEX-MATCH to find unit price of Product Name entered in H25.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</si>
</sst>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5" tint="-0.499984740745262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0" fillId="2" borderId="0" xfId="0" applyFill="1"/>
    <xf numFmtId="0" fontId="6" fillId="0" borderId="0" xfId="0" applyFont="1"/>
    <xf numFmtId="0" fontId="2" fillId="2" borderId="0" xfId="0" applyFont="1" applyFill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  <xf numFmtId="0" fontId="6" fillId="0" borderId="0" xfId="0" applyFont="1" applyFill="1"/>
    <xf numFmtId="0" fontId="8" fillId="0" borderId="0" xfId="0" applyFont="1"/>
    <xf numFmtId="10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[Week04 Excel DPP-03.xlsx]Q1!PivotTable1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'Q1'!$A$8:$A$12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'Q1'!$B$8:$B$12</c:f>
              <c:numCache>
                <c:formatCode>General</c:formatCode>
                <c:ptCount val="4"/>
                <c:pt idx="0">
                  <c:v>86776563</c:v>
                </c:pt>
                <c:pt idx="1">
                  <c:v>78697011</c:v>
                </c:pt>
                <c:pt idx="2">
                  <c:v>76461335</c:v>
                </c:pt>
                <c:pt idx="3">
                  <c:v>75346038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0-4E4C-8661-1593CA4E3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5938207"/>
        <c:axId val="755933407"/>
      </c:barChart>
      <c:catAx>
        <c:axId val="75593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33407"/>
        <c:crosses val="autoZero"/>
        <c:auto val="1"/>
        <c:lblAlgn val="ctr"/>
        <c:lblOffset val="100"/>
        <c:noMultiLvlLbl val="0"/>
      </c:catAx>
      <c:valAx>
        <c:axId val="7559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3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[Week04 Excel DPP-03.xlsx]Q2!PivotTable2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'Q2'!$B$7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'Q2'!$A$8:$A$20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'Q2'!$B$8:$B$20</c:f>
              <c:numCache>
                <c:formatCode>General</c:formatCode>
                <c:ptCount val="12"/>
                <c:pt idx="0">
                  <c:v>23617732</c:v>
                </c:pt>
                <c:pt idx="1">
                  <c:v>21132379</c:v>
                </c:pt>
                <c:pt idx="2">
                  <c:v>32213079</c:v>
                </c:pt>
                <c:pt idx="3">
                  <c:v>27861150</c:v>
                </c:pt>
                <c:pt idx="4">
                  <c:v>27708048</c:v>
                </c:pt>
                <c:pt idx="5">
                  <c:v>23045377</c:v>
                </c:pt>
                <c:pt idx="6">
                  <c:v>32768203</c:v>
                </c:pt>
                <c:pt idx="7">
                  <c:v>28733430</c:v>
                </c:pt>
                <c:pt idx="8">
                  <c:v>20883898</c:v>
                </c:pt>
                <c:pt idx="9">
                  <c:v>27277924</c:v>
                </c:pt>
                <c:pt idx="10">
                  <c:v>18821255</c:v>
                </c:pt>
                <c:pt idx="11">
                  <c:v>33218472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3-4FDD-9377-AB53321B6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5949727"/>
        <c:axId val="755947327"/>
      </c:lineChart>
      <c:catAx>
        <c:axId val="75594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47327"/>
        <c:crosses val="autoZero"/>
        <c:auto val="1"/>
        <c:lblAlgn val="ctr"/>
        <c:lblOffset val="100"/>
        <c:noMultiLvlLbl val="0"/>
      </c:catAx>
      <c:valAx>
        <c:axId val="7559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4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[Week04 Excel DPP-03.xlsx]Q3!PivotTable3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'Q3'!$A$12:$A$17</c:f>
              <c:strCache>
                <c:ptCount val="5"/>
                <c:pt idx="0">
                  <c:v>Camera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Speaker</c:v>
                </c:pt>
              </c:strCache>
            </c:strRef>
          </c:cat>
          <c:val>
            <c:numRef>
              <c:f>'Q3'!$B$12:$B$17</c:f>
              <c:numCache>
                <c:formatCode>General</c:formatCode>
                <c:ptCount val="5"/>
                <c:pt idx="0">
                  <c:v>1520</c:v>
                </c:pt>
                <c:pt idx="1">
                  <c:v>1402</c:v>
                </c:pt>
                <c:pt idx="2">
                  <c:v>1399</c:v>
                </c:pt>
                <c:pt idx="3">
                  <c:v>1405</c:v>
                </c:pt>
                <c:pt idx="4">
                  <c:v>1348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5-4396-BE1E-DBFEC6C873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54055487"/>
        <c:axId val="754065567"/>
      </c:barChart>
      <c:catAx>
        <c:axId val="75405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65567"/>
        <c:crosses val="autoZero"/>
        <c:auto val="1"/>
        <c:lblAlgn val="ctr"/>
        <c:lblOffset val="100"/>
        <c:noMultiLvlLbl val="0"/>
      </c:catAx>
      <c:valAx>
        <c:axId val="75406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5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[Week04 Excel DPP-03.xlsx]Q4!PivotTable4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'Q4'!$B$11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'Q4'!$A$12:$A$14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'Q4'!$B$12:$B$14</c:f>
              <c:numCache>
                <c:formatCode>0.00%</c:formatCode>
                <c:ptCount val="2"/>
                <c:pt idx="0">
                  <c:v>0.48711360849537555</c:v>
                </c:pt>
                <c:pt idx="1">
                  <c:v>0.51288639150462445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D-4216-80DC-F8DA8BE4F0D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[Week04 Excel DPP-03.xlsx]Q5!PivotTable5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'Q5'!$B$7:$B$8</c:f>
              <c:strCache>
                <c:ptCount val="1"/>
                <c:pt idx="0">
                  <c:v>Accessories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'Q5'!$A$9:$A$13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'Q5'!$B$9:$B$13</c:f>
              <c:numCache>
                <c:formatCode>General</c:formatCode>
                <c:ptCount val="4"/>
                <c:pt idx="0">
                  <c:v>42021901</c:v>
                </c:pt>
                <c:pt idx="1">
                  <c:v>39373238</c:v>
                </c:pt>
                <c:pt idx="2">
                  <c:v>40110811</c:v>
                </c:pt>
                <c:pt idx="3">
                  <c:v>33045917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4-48B4-8CAF-C226E125CD99}"/>
            </c:ext>
          </c:extLst>
        </c:ser>
        <c:ser>
          <c:idx val="1"/>
          <c:order val="1"/>
          <c:tx>
            <c:strRef>
              <c:f>'Q5'!$C$7:$C$8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'Q5'!$A$9:$A$13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'Q5'!$C$9:$C$13</c:f>
              <c:numCache>
                <c:formatCode>General</c:formatCode>
                <c:ptCount val="4"/>
                <c:pt idx="0">
                  <c:v>44754662</c:v>
                </c:pt>
                <c:pt idx="1">
                  <c:v>39323773</c:v>
                </c:pt>
                <c:pt idx="2">
                  <c:v>36350524</c:v>
                </c:pt>
                <c:pt idx="3">
                  <c:v>42300121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4-48B4-8CAF-C226E125C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045887"/>
        <c:axId val="754052607"/>
      </c:barChart>
      <c:catAx>
        <c:axId val="75404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52607"/>
        <c:crosses val="autoZero"/>
        <c:auto val="1"/>
        <c:lblAlgn val="ctr"/>
        <c:lblOffset val="100"/>
        <c:noMultiLvlLbl val="0"/>
      </c:catAx>
      <c:valAx>
        <c:axId val="7540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4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6</xdr:row>
      <xdr:rowOff>7620</xdr:rowOff>
    </xdr:from>
    <xdr:to>
      <xdr:col>9</xdr:col>
      <xdr:colOff>7620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4C785-FCF5-CB21-0B8A-B3E833F01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5</xdr:row>
      <xdr:rowOff>163830</xdr:rowOff>
    </xdr:from>
    <xdr:to>
      <xdr:col>10</xdr:col>
      <xdr:colOff>68580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9C750-8D66-58C1-5F4C-5CFE7BC0C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9</xdr:row>
      <xdr:rowOff>156210</xdr:rowOff>
    </xdr:from>
    <xdr:to>
      <xdr:col>11</xdr:col>
      <xdr:colOff>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8F392-89A9-392E-875F-CB803BCF7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9</xdr:row>
      <xdr:rowOff>156210</xdr:rowOff>
    </xdr:from>
    <xdr:to>
      <xdr:col>9</xdr:col>
      <xdr:colOff>335280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840DE-D8C7-4A0A-0BD3-62E2D4DF2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5</xdr:row>
      <xdr:rowOff>163830</xdr:rowOff>
    </xdr:from>
    <xdr:to>
      <xdr:col>13</xdr:col>
      <xdr:colOff>121920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EF6DC-6DCC-E4A0-5673-6517382A6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7.528565509259" createdVersion="8" refreshedVersion="8" minRefreshableVersion="3" recordCount="500" xr:uid="{65757494-7801-4877-A8CB-BA9FCBC7874A}">
  <cacheSource type="worksheet">
    <worksheetSource ref="A1:I501" sheet="Sales_dates"/>
  </cacheSource>
  <cacheFields count="9">
    <cacheField name="ProductID" numFmtId="0">
      <sharedItems containsSemiMixedTypes="0" containsString="0" containsNumber="1" containsInteger="1" minValue="1001" maxValue="1049"/>
    </cacheField>
    <cacheField name="ProductName" numFmtId="0">
      <sharedItems/>
    </cacheField>
    <cacheField name="Category" numFmtId="0">
      <sharedItems/>
    </cacheField>
    <cacheField name="Region" numFmtId="0">
      <sharedItems count="4">
        <s v="South"/>
        <s v="East"/>
        <s v="North"/>
        <s v="West"/>
      </sharedItems>
    </cacheField>
    <cacheField name="Date" numFmtId="164">
      <sharedItems containsSemiMixedTypes="0" containsNonDate="0" containsDate="1" containsString="0" minDate="2023-01-02T00:00:00" maxDate="2026-01-01T00:00:00"/>
    </cacheField>
    <cacheField name="UnitsSold" numFmtId="0">
      <sharedItems containsSemiMixedTypes="0" containsString="0" containsNumber="1" containsInteger="1" minValue="1" maxValue="49"/>
    </cacheField>
    <cacheField name="UnitPrice" numFmtId="0">
      <sharedItems containsSemiMixedTypes="0" containsString="0" containsNumber="1" containsInteger="1" minValue="640" maxValue="49994"/>
    </cacheField>
    <cacheField name="Salesperson" numFmtId="0">
      <sharedItems/>
    </cacheField>
    <cacheField name="TotalSales" numFmtId="0">
      <sharedItems containsSemiMixedTypes="0" containsString="0" containsNumber="1" containsInteger="1" minValue="2891" maxValue="23111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7.535799537036" createdVersion="8" refreshedVersion="8" minRefreshableVersion="3" recordCount="500" xr:uid="{DDB2F15B-2E03-4960-AD84-730DE52512A3}">
  <cacheSource type="worksheet">
    <worksheetSource ref="A1:J501" sheet="Sales_dates"/>
  </cacheSource>
  <cacheFields count="10">
    <cacheField name="ProductID" numFmtId="0">
      <sharedItems containsSemiMixedTypes="0" containsString="0" containsNumber="1" containsInteger="1" minValue="1001" maxValue="1049"/>
    </cacheField>
    <cacheField name="ProductName" numFmtId="0">
      <sharedItems count="10">
        <s v="Headphones"/>
        <s v="Camera"/>
        <s v="Tablet"/>
        <s v="Smartwatch"/>
        <s v="Monitor"/>
        <s v="Mouse"/>
        <s v="Speaker"/>
        <s v="Mobile"/>
        <s v="Keyboard"/>
        <s v="Laptop"/>
      </sharedItems>
    </cacheField>
    <cacheField name="Category" numFmtId="0">
      <sharedItems count="2">
        <s v="Accessories"/>
        <s v="Electronics"/>
      </sharedItems>
    </cacheField>
    <cacheField name="Region" numFmtId="0">
      <sharedItems count="4">
        <s v="South"/>
        <s v="East"/>
        <s v="North"/>
        <s v="West"/>
      </sharedItems>
    </cacheField>
    <cacheField name="Date" numFmtId="164">
      <sharedItems containsSemiMixedTypes="0" containsNonDate="0" containsDate="1" containsString="0" minDate="2023-01-02T00:00:00" maxDate="2026-01-01T00:00:00"/>
    </cacheField>
    <cacheField name="UnitsSold" numFmtId="0">
      <sharedItems containsSemiMixedTypes="0" containsString="0" containsNumber="1" containsInteger="1" minValue="1" maxValue="49"/>
    </cacheField>
    <cacheField name="UnitPrice" numFmtId="0">
      <sharedItems containsSemiMixedTypes="0" containsString="0" containsNumber="1" containsInteger="1" minValue="640" maxValue="49994"/>
    </cacheField>
    <cacheField name="Salesperson" numFmtId="0">
      <sharedItems/>
    </cacheField>
    <cacheField name="TotalSales" numFmtId="0">
      <sharedItems containsSemiMixedTypes="0" containsString="0" containsNumber="1" containsInteger="1" minValue="2891" maxValue="2311183"/>
    </cacheField>
    <cacheField name="Month" numFmtId="0">
      <sharedItems count="12">
        <s v="November"/>
        <s v="April"/>
        <s v="September"/>
        <s v="February"/>
        <s v="March"/>
        <s v="July"/>
        <s v="August"/>
        <s v="December"/>
        <s v="January"/>
        <s v="May"/>
        <s v="October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33"/>
    <s v="Headphones"/>
    <s v="Accessories"/>
    <x v="0"/>
    <d v="2025-11-07T00:00:00"/>
    <n v="29"/>
    <n v="15742"/>
    <s v="John"/>
    <n v="456518"/>
  </r>
  <r>
    <n v="1049"/>
    <s v="Camera"/>
    <s v="Electronics"/>
    <x v="1"/>
    <d v="2023-04-17T00:00:00"/>
    <n v="32"/>
    <n v="8610"/>
    <s v="Carlos"/>
    <n v="275520"/>
  </r>
  <r>
    <n v="1008"/>
    <s v="Tablet"/>
    <s v="Electronics"/>
    <x v="2"/>
    <d v="2023-04-07T00:00:00"/>
    <n v="33"/>
    <n v="40212"/>
    <s v="Sakshi"/>
    <n v="1326996"/>
  </r>
  <r>
    <n v="1040"/>
    <s v="Smartwatch"/>
    <s v="Accessories"/>
    <x v="3"/>
    <d v="2023-04-24T00:00:00"/>
    <n v="6"/>
    <n v="13976"/>
    <s v="Sakshi"/>
    <n v="83856"/>
  </r>
  <r>
    <n v="1016"/>
    <s v="Monitor"/>
    <s v="Electronics"/>
    <x v="1"/>
    <d v="2024-09-30T00:00:00"/>
    <n v="15"/>
    <n v="6762"/>
    <s v="Carlos"/>
    <n v="101430"/>
  </r>
  <r>
    <n v="1038"/>
    <s v="Smartwatch"/>
    <s v="Electronics"/>
    <x v="3"/>
    <d v="2023-02-17T00:00:00"/>
    <n v="4"/>
    <n v="43236"/>
    <s v="Amit"/>
    <n v="172944"/>
  </r>
  <r>
    <n v="1044"/>
    <s v="Mouse"/>
    <s v="Electronics"/>
    <x v="2"/>
    <d v="2023-03-15T00:00:00"/>
    <n v="31"/>
    <n v="6822"/>
    <s v="John"/>
    <n v="211482"/>
  </r>
  <r>
    <n v="1041"/>
    <s v="Speaker"/>
    <s v="Accessories"/>
    <x v="1"/>
    <d v="2025-07-31T00:00:00"/>
    <n v="15"/>
    <n v="45111"/>
    <s v="Neha"/>
    <n v="676665"/>
  </r>
  <r>
    <n v="1034"/>
    <s v="Mobile"/>
    <s v="Electronics"/>
    <x v="1"/>
    <d v="2023-08-13T00:00:00"/>
    <n v="33"/>
    <n v="19336"/>
    <s v="Fatima"/>
    <n v="638088"/>
  </r>
  <r>
    <n v="1006"/>
    <s v="Speaker"/>
    <s v="Electronics"/>
    <x v="3"/>
    <d v="2023-04-22T00:00:00"/>
    <n v="47"/>
    <n v="33985"/>
    <s v="Riya"/>
    <n v="1597295"/>
  </r>
  <r>
    <n v="1039"/>
    <s v="Tablet"/>
    <s v="Electronics"/>
    <x v="1"/>
    <d v="2025-04-26T00:00:00"/>
    <n v="20"/>
    <n v="24131"/>
    <s v="Arjun"/>
    <n v="482620"/>
  </r>
  <r>
    <n v="1040"/>
    <s v="Keyboard"/>
    <s v="Accessories"/>
    <x v="0"/>
    <d v="2024-02-25T00:00:00"/>
    <n v="33"/>
    <n v="9628"/>
    <s v="Sakshi"/>
    <n v="317724"/>
  </r>
  <r>
    <n v="1049"/>
    <s v="Laptop"/>
    <s v="Electronics"/>
    <x v="1"/>
    <d v="2024-08-31T00:00:00"/>
    <n v="18"/>
    <n v="17180"/>
    <s v="Carlos"/>
    <n v="309240"/>
  </r>
  <r>
    <n v="1023"/>
    <s v="Mobile"/>
    <s v="Accessories"/>
    <x v="0"/>
    <d v="2025-12-28T00:00:00"/>
    <n v="39"/>
    <n v="7138"/>
    <s v="Amit"/>
    <n v="278382"/>
  </r>
  <r>
    <n v="1021"/>
    <s v="Camera"/>
    <s v="Electronics"/>
    <x v="3"/>
    <d v="2024-03-27T00:00:00"/>
    <n v="10"/>
    <n v="47413"/>
    <s v="John"/>
    <n v="474130"/>
  </r>
  <r>
    <n v="1035"/>
    <s v="Monitor"/>
    <s v="Accessories"/>
    <x v="3"/>
    <d v="2023-01-03T00:00:00"/>
    <n v="3"/>
    <n v="21778"/>
    <s v="Carlos"/>
    <n v="65334"/>
  </r>
  <r>
    <n v="1047"/>
    <s v="Speaker"/>
    <s v="Electronics"/>
    <x v="3"/>
    <d v="2023-12-07T00:00:00"/>
    <n v="34"/>
    <n v="35028"/>
    <s v="Neha"/>
    <n v="1190952"/>
  </r>
  <r>
    <n v="1029"/>
    <s v="Camera"/>
    <s v="Electronics"/>
    <x v="3"/>
    <d v="2023-02-09T00:00:00"/>
    <n v="25"/>
    <n v="20777"/>
    <s v="Riya"/>
    <n v="519425"/>
  </r>
  <r>
    <n v="1035"/>
    <s v="Monitor"/>
    <s v="Accessories"/>
    <x v="0"/>
    <d v="2024-08-19T00:00:00"/>
    <n v="28"/>
    <n v="1445"/>
    <s v="Sakshi"/>
    <n v="40460"/>
  </r>
  <r>
    <n v="1002"/>
    <s v="Laptop"/>
    <s v="Accessories"/>
    <x v="1"/>
    <d v="2024-05-19T00:00:00"/>
    <n v="48"/>
    <n v="31602"/>
    <s v="Arjun"/>
    <n v="1516896"/>
  </r>
  <r>
    <n v="1033"/>
    <s v="Headphones"/>
    <s v="Electronics"/>
    <x v="2"/>
    <d v="2023-04-10T00:00:00"/>
    <n v="21"/>
    <n v="16192"/>
    <s v="John"/>
    <n v="340032"/>
  </r>
  <r>
    <n v="1026"/>
    <s v="Mouse"/>
    <s v="Electronics"/>
    <x v="2"/>
    <d v="2024-01-16T00:00:00"/>
    <n v="15"/>
    <n v="2741"/>
    <s v="Fatima"/>
    <n v="41115"/>
  </r>
  <r>
    <n v="1044"/>
    <s v="Mobile"/>
    <s v="Electronics"/>
    <x v="2"/>
    <d v="2023-08-02T00:00:00"/>
    <n v="4"/>
    <n v="44373"/>
    <s v="John"/>
    <n v="177492"/>
  </r>
  <r>
    <n v="1032"/>
    <s v="Monitor"/>
    <s v="Accessories"/>
    <x v="3"/>
    <d v="2025-05-12T00:00:00"/>
    <n v="27"/>
    <n v="20050"/>
    <s v="Carlos"/>
    <n v="541350"/>
  </r>
  <r>
    <n v="1018"/>
    <s v="Laptop"/>
    <s v="Electronics"/>
    <x v="1"/>
    <d v="2023-10-18T00:00:00"/>
    <n v="36"/>
    <n v="16667"/>
    <s v="John"/>
    <n v="600012"/>
  </r>
  <r>
    <n v="1034"/>
    <s v="Laptop"/>
    <s v="Electronics"/>
    <x v="0"/>
    <d v="2024-08-11T00:00:00"/>
    <n v="30"/>
    <n v="46248"/>
    <s v="Amit"/>
    <n v="1387440"/>
  </r>
  <r>
    <n v="1030"/>
    <s v="Mobile"/>
    <s v="Accessories"/>
    <x v="1"/>
    <d v="2023-04-17T00:00:00"/>
    <n v="11"/>
    <n v="47922"/>
    <s v="Sakshi"/>
    <n v="527142"/>
  </r>
  <r>
    <n v="1044"/>
    <s v="Mobile"/>
    <s v="Electronics"/>
    <x v="0"/>
    <d v="2025-04-17T00:00:00"/>
    <n v="44"/>
    <n v="11088"/>
    <s v="Arjun"/>
    <n v="487872"/>
  </r>
  <r>
    <n v="1023"/>
    <s v="Mobile"/>
    <s v="Electronics"/>
    <x v="2"/>
    <d v="2024-07-30T00:00:00"/>
    <n v="25"/>
    <n v="25569"/>
    <s v="Arjun"/>
    <n v="639225"/>
  </r>
  <r>
    <n v="1048"/>
    <s v="Mouse"/>
    <s v="Accessories"/>
    <x v="1"/>
    <d v="2025-04-23T00:00:00"/>
    <n v="30"/>
    <n v="40081"/>
    <s v="Riya"/>
    <n v="1202430"/>
  </r>
  <r>
    <n v="1020"/>
    <s v="Speaker"/>
    <s v="Accessories"/>
    <x v="3"/>
    <d v="2025-04-06T00:00:00"/>
    <n v="35"/>
    <n v="24686"/>
    <s v="Carlos"/>
    <n v="864010"/>
  </r>
  <r>
    <n v="1046"/>
    <s v="Tablet"/>
    <s v="Electronics"/>
    <x v="2"/>
    <d v="2023-05-27T00:00:00"/>
    <n v="28"/>
    <n v="27108"/>
    <s v="Neha"/>
    <n v="759024"/>
  </r>
  <r>
    <n v="1023"/>
    <s v="Laptop"/>
    <s v="Accessories"/>
    <x v="1"/>
    <d v="2024-04-29T00:00:00"/>
    <n v="30"/>
    <n v="14484"/>
    <s v="Amit"/>
    <n v="434520"/>
  </r>
  <r>
    <n v="1040"/>
    <s v="Smartwatch"/>
    <s v="Accessories"/>
    <x v="2"/>
    <d v="2025-09-30T00:00:00"/>
    <n v="13"/>
    <n v="8752"/>
    <s v="Amit"/>
    <n v="113776"/>
  </r>
  <r>
    <n v="1008"/>
    <s v="Mouse"/>
    <s v="Electronics"/>
    <x v="1"/>
    <d v="2024-02-16T00:00:00"/>
    <n v="44"/>
    <n v="10437"/>
    <s v="Riya"/>
    <n v="459228"/>
  </r>
  <r>
    <n v="1014"/>
    <s v="Monitor"/>
    <s v="Accessories"/>
    <x v="3"/>
    <d v="2023-06-08T00:00:00"/>
    <n v="25"/>
    <n v="17840"/>
    <s v="Carlos"/>
    <n v="446000"/>
  </r>
  <r>
    <n v="1023"/>
    <s v="Speaker"/>
    <s v="Electronics"/>
    <x v="0"/>
    <d v="2024-01-07T00:00:00"/>
    <n v="6"/>
    <n v="21673"/>
    <s v="Carlos"/>
    <n v="130038"/>
  </r>
  <r>
    <n v="1046"/>
    <s v="Laptop"/>
    <s v="Accessories"/>
    <x v="0"/>
    <d v="2024-12-21T00:00:00"/>
    <n v="32"/>
    <n v="36122"/>
    <s v="Sakshi"/>
    <n v="1155904"/>
  </r>
  <r>
    <n v="1014"/>
    <s v="Mobile"/>
    <s v="Electronics"/>
    <x v="3"/>
    <d v="2024-01-26T00:00:00"/>
    <n v="10"/>
    <n v="23254"/>
    <s v="Fatima"/>
    <n v="232540"/>
  </r>
  <r>
    <n v="1002"/>
    <s v="Monitor"/>
    <s v="Accessories"/>
    <x v="2"/>
    <d v="2023-09-13T00:00:00"/>
    <n v="35"/>
    <n v="11855"/>
    <s v="Amit"/>
    <n v="414925"/>
  </r>
  <r>
    <n v="1004"/>
    <s v="Smartwatch"/>
    <s v="Accessories"/>
    <x v="0"/>
    <d v="2023-12-26T00:00:00"/>
    <n v="39"/>
    <n v="33259"/>
    <s v="Amit"/>
    <n v="1297101"/>
  </r>
  <r>
    <n v="1024"/>
    <s v="Camera"/>
    <s v="Electronics"/>
    <x v="3"/>
    <d v="2025-08-08T00:00:00"/>
    <n v="20"/>
    <n v="34192"/>
    <s v="Riya"/>
    <n v="683840"/>
  </r>
  <r>
    <n v="1036"/>
    <s v="Camera"/>
    <s v="Accessories"/>
    <x v="1"/>
    <d v="2024-07-09T00:00:00"/>
    <n v="16"/>
    <n v="46780"/>
    <s v="John"/>
    <n v="748480"/>
  </r>
  <r>
    <n v="1009"/>
    <s v="Tablet"/>
    <s v="Electronics"/>
    <x v="0"/>
    <d v="2024-11-26T00:00:00"/>
    <n v="7"/>
    <n v="14592"/>
    <s v="John"/>
    <n v="102144"/>
  </r>
  <r>
    <n v="1016"/>
    <s v="Headphones"/>
    <s v="Accessories"/>
    <x v="2"/>
    <d v="2024-06-21T00:00:00"/>
    <n v="3"/>
    <n v="19072"/>
    <s v="Arjun"/>
    <n v="57216"/>
  </r>
  <r>
    <n v="1032"/>
    <s v="Monitor"/>
    <s v="Accessories"/>
    <x v="2"/>
    <d v="2024-03-10T00:00:00"/>
    <n v="40"/>
    <n v="29593"/>
    <s v="Carlos"/>
    <n v="1183720"/>
  </r>
  <r>
    <n v="1032"/>
    <s v="Speaker"/>
    <s v="Electronics"/>
    <x v="2"/>
    <d v="2024-06-14T00:00:00"/>
    <n v="28"/>
    <n v="39830"/>
    <s v="Fatima"/>
    <n v="1115240"/>
  </r>
  <r>
    <n v="1027"/>
    <s v="Camera"/>
    <s v="Electronics"/>
    <x v="1"/>
    <d v="2023-02-21T00:00:00"/>
    <n v="32"/>
    <n v="42663"/>
    <s v="Riya"/>
    <n v="1365216"/>
  </r>
  <r>
    <n v="1015"/>
    <s v="Mobile"/>
    <s v="Accessories"/>
    <x v="2"/>
    <d v="2025-07-29T00:00:00"/>
    <n v="46"/>
    <n v="27918"/>
    <s v="John"/>
    <n v="1284228"/>
  </r>
  <r>
    <n v="1049"/>
    <s v="Speaker"/>
    <s v="Electronics"/>
    <x v="2"/>
    <d v="2025-12-16T00:00:00"/>
    <n v="40"/>
    <n v="28114"/>
    <s v="John"/>
    <n v="1124560"/>
  </r>
  <r>
    <n v="1004"/>
    <s v="Smartwatch"/>
    <s v="Electronics"/>
    <x v="3"/>
    <d v="2023-12-09T00:00:00"/>
    <n v="4"/>
    <n v="36019"/>
    <s v="Neha"/>
    <n v="144076"/>
  </r>
  <r>
    <n v="1036"/>
    <s v="Headphones"/>
    <s v="Electronics"/>
    <x v="0"/>
    <d v="2024-05-30T00:00:00"/>
    <n v="39"/>
    <n v="17965"/>
    <s v="John"/>
    <n v="700635"/>
  </r>
  <r>
    <n v="1025"/>
    <s v="Keyboard"/>
    <s v="Electronics"/>
    <x v="0"/>
    <d v="2025-12-27T00:00:00"/>
    <n v="15"/>
    <n v="17130"/>
    <s v="Amit"/>
    <n v="256950"/>
  </r>
  <r>
    <n v="1015"/>
    <s v="Mobile"/>
    <s v="Electronics"/>
    <x v="3"/>
    <d v="2023-05-20T00:00:00"/>
    <n v="45"/>
    <n v="47936"/>
    <s v="Arjun"/>
    <n v="2157120"/>
  </r>
  <r>
    <n v="1012"/>
    <s v="Smartwatch"/>
    <s v="Electronics"/>
    <x v="3"/>
    <d v="2024-10-23T00:00:00"/>
    <n v="19"/>
    <n v="49351"/>
    <s v="Sakshi"/>
    <n v="937669"/>
  </r>
  <r>
    <n v="1007"/>
    <s v="Speaker"/>
    <s v="Electronics"/>
    <x v="2"/>
    <d v="2024-04-18T00:00:00"/>
    <n v="5"/>
    <n v="1295"/>
    <s v="Carlos"/>
    <n v="6475"/>
  </r>
  <r>
    <n v="1036"/>
    <s v="Laptop"/>
    <s v="Electronics"/>
    <x v="1"/>
    <d v="2023-01-04T00:00:00"/>
    <n v="30"/>
    <n v="13916"/>
    <s v="Riya"/>
    <n v="417480"/>
  </r>
  <r>
    <n v="1024"/>
    <s v="Monitor"/>
    <s v="Accessories"/>
    <x v="0"/>
    <d v="2025-01-25T00:00:00"/>
    <n v="47"/>
    <n v="4186"/>
    <s v="Sakshi"/>
    <n v="196742"/>
  </r>
  <r>
    <n v="1006"/>
    <s v="Laptop"/>
    <s v="Accessories"/>
    <x v="2"/>
    <d v="2025-10-13T00:00:00"/>
    <n v="44"/>
    <n v="9629"/>
    <s v="Fatima"/>
    <n v="423676"/>
  </r>
  <r>
    <n v="1048"/>
    <s v="Mouse"/>
    <s v="Accessories"/>
    <x v="1"/>
    <d v="2023-09-20T00:00:00"/>
    <n v="4"/>
    <n v="21787"/>
    <s v="Fatima"/>
    <n v="87148"/>
  </r>
  <r>
    <n v="1041"/>
    <s v="Tablet"/>
    <s v="Electronics"/>
    <x v="0"/>
    <d v="2023-09-23T00:00:00"/>
    <n v="47"/>
    <n v="7604"/>
    <s v="Amit"/>
    <n v="357388"/>
  </r>
  <r>
    <n v="1045"/>
    <s v="Keyboard"/>
    <s v="Accessories"/>
    <x v="2"/>
    <d v="2025-11-04T00:00:00"/>
    <n v="31"/>
    <n v="18062"/>
    <s v="John"/>
    <n v="559922"/>
  </r>
  <r>
    <n v="1031"/>
    <s v="Tablet"/>
    <s v="Accessories"/>
    <x v="2"/>
    <d v="2024-04-12T00:00:00"/>
    <n v="28"/>
    <n v="31938"/>
    <s v="Arjun"/>
    <n v="894264"/>
  </r>
  <r>
    <n v="1021"/>
    <s v="Keyboard"/>
    <s v="Electronics"/>
    <x v="3"/>
    <d v="2025-06-08T00:00:00"/>
    <n v="23"/>
    <n v="25710"/>
    <s v="Sakshi"/>
    <n v="591330"/>
  </r>
  <r>
    <n v="1011"/>
    <s v="Speaker"/>
    <s v="Accessories"/>
    <x v="1"/>
    <d v="2023-05-21T00:00:00"/>
    <n v="47"/>
    <n v="17100"/>
    <s v="Sakshi"/>
    <n v="803700"/>
  </r>
  <r>
    <n v="1016"/>
    <s v="Laptop"/>
    <s v="Electronics"/>
    <x v="2"/>
    <d v="2024-03-14T00:00:00"/>
    <n v="29"/>
    <n v="31271"/>
    <s v="Amit"/>
    <n v="906859"/>
  </r>
  <r>
    <n v="1014"/>
    <s v="Speaker"/>
    <s v="Accessories"/>
    <x v="2"/>
    <d v="2024-06-23T00:00:00"/>
    <n v="30"/>
    <n v="33687"/>
    <s v="John"/>
    <n v="1010610"/>
  </r>
  <r>
    <n v="1025"/>
    <s v="Mouse"/>
    <s v="Accessories"/>
    <x v="2"/>
    <d v="2025-03-17T00:00:00"/>
    <n v="43"/>
    <n v="49367"/>
    <s v="Sakshi"/>
    <n v="2122781"/>
  </r>
  <r>
    <n v="1014"/>
    <s v="Laptop"/>
    <s v="Electronics"/>
    <x v="0"/>
    <d v="2025-05-17T00:00:00"/>
    <n v="24"/>
    <n v="24401"/>
    <s v="Carlos"/>
    <n v="585624"/>
  </r>
  <r>
    <n v="1038"/>
    <s v="Laptop"/>
    <s v="Accessories"/>
    <x v="3"/>
    <d v="2023-04-10T00:00:00"/>
    <n v="10"/>
    <n v="808"/>
    <s v="Sakshi"/>
    <n v="8080"/>
  </r>
  <r>
    <n v="1018"/>
    <s v="Speaker"/>
    <s v="Electronics"/>
    <x v="2"/>
    <d v="2023-07-13T00:00:00"/>
    <n v="48"/>
    <n v="5303"/>
    <s v="Sakshi"/>
    <n v="254544"/>
  </r>
  <r>
    <n v="1014"/>
    <s v="Mobile"/>
    <s v="Accessories"/>
    <x v="2"/>
    <d v="2025-03-26T00:00:00"/>
    <n v="47"/>
    <n v="30625"/>
    <s v="Amit"/>
    <n v="1439375"/>
  </r>
  <r>
    <n v="1024"/>
    <s v="Monitor"/>
    <s v="Electronics"/>
    <x v="3"/>
    <d v="2024-05-08T00:00:00"/>
    <n v="30"/>
    <n v="47288"/>
    <s v="Riya"/>
    <n v="1418640"/>
  </r>
  <r>
    <n v="1008"/>
    <s v="Speaker"/>
    <s v="Accessories"/>
    <x v="1"/>
    <d v="2023-01-17T00:00:00"/>
    <n v="23"/>
    <n v="41367"/>
    <s v="John"/>
    <n v="951441"/>
  </r>
  <r>
    <n v="1045"/>
    <s v="Smartwatch"/>
    <s v="Electronics"/>
    <x v="3"/>
    <d v="2023-12-27T00:00:00"/>
    <n v="39"/>
    <n v="9675"/>
    <s v="Arjun"/>
    <n v="377325"/>
  </r>
  <r>
    <n v="1025"/>
    <s v="Speaker"/>
    <s v="Electronics"/>
    <x v="3"/>
    <d v="2023-02-16T00:00:00"/>
    <n v="21"/>
    <n v="49045"/>
    <s v="Amit"/>
    <n v="1029945"/>
  </r>
  <r>
    <n v="1034"/>
    <s v="Camera"/>
    <s v="Electronics"/>
    <x v="2"/>
    <d v="2023-09-29T00:00:00"/>
    <n v="1"/>
    <n v="19171"/>
    <s v="Amit"/>
    <n v="19171"/>
  </r>
  <r>
    <n v="1045"/>
    <s v="Headphones"/>
    <s v="Accessories"/>
    <x v="2"/>
    <d v="2023-10-24T00:00:00"/>
    <n v="40"/>
    <n v="38970"/>
    <s v="Sakshi"/>
    <n v="1558800"/>
  </r>
  <r>
    <n v="1044"/>
    <s v="Keyboard"/>
    <s v="Accessories"/>
    <x v="3"/>
    <d v="2025-09-06T00:00:00"/>
    <n v="10"/>
    <n v="14270"/>
    <s v="John"/>
    <n v="142700"/>
  </r>
  <r>
    <n v="1028"/>
    <s v="Tablet"/>
    <s v="Electronics"/>
    <x v="2"/>
    <d v="2025-04-16T00:00:00"/>
    <n v="29"/>
    <n v="20198"/>
    <s v="Carlos"/>
    <n v="585742"/>
  </r>
  <r>
    <n v="1024"/>
    <s v="Monitor"/>
    <s v="Accessories"/>
    <x v="3"/>
    <d v="2025-07-15T00:00:00"/>
    <n v="31"/>
    <n v="42021"/>
    <s v="Arjun"/>
    <n v="1302651"/>
  </r>
  <r>
    <n v="1018"/>
    <s v="Laptop"/>
    <s v="Accessories"/>
    <x v="2"/>
    <d v="2023-03-02T00:00:00"/>
    <n v="30"/>
    <n v="36863"/>
    <s v="John"/>
    <n v="1105890"/>
  </r>
  <r>
    <n v="1034"/>
    <s v="Speaker"/>
    <s v="Accessories"/>
    <x v="0"/>
    <d v="2023-11-18T00:00:00"/>
    <n v="39"/>
    <n v="21771"/>
    <s v="Amit"/>
    <n v="849069"/>
  </r>
  <r>
    <n v="1042"/>
    <s v="Camera"/>
    <s v="Electronics"/>
    <x v="2"/>
    <d v="2025-02-05T00:00:00"/>
    <n v="11"/>
    <n v="26478"/>
    <s v="Neha"/>
    <n v="291258"/>
  </r>
  <r>
    <n v="1003"/>
    <s v="Mobile"/>
    <s v="Electronics"/>
    <x v="1"/>
    <d v="2023-11-20T00:00:00"/>
    <n v="43"/>
    <n v="3078"/>
    <s v="Neha"/>
    <n v="132354"/>
  </r>
  <r>
    <n v="1012"/>
    <s v="Mobile"/>
    <s v="Electronics"/>
    <x v="0"/>
    <d v="2025-03-30T00:00:00"/>
    <n v="22"/>
    <n v="38456"/>
    <s v="Amit"/>
    <n v="846032"/>
  </r>
  <r>
    <n v="1036"/>
    <s v="Mobile"/>
    <s v="Electronics"/>
    <x v="3"/>
    <d v="2025-09-25T00:00:00"/>
    <n v="25"/>
    <n v="36212"/>
    <s v="Carlos"/>
    <n v="905300"/>
  </r>
  <r>
    <n v="1005"/>
    <s v="Mouse"/>
    <s v="Electronics"/>
    <x v="2"/>
    <d v="2023-03-30T00:00:00"/>
    <n v="25"/>
    <n v="25646"/>
    <s v="John"/>
    <n v="641150"/>
  </r>
  <r>
    <n v="1019"/>
    <s v="Monitor"/>
    <s v="Electronics"/>
    <x v="3"/>
    <d v="2024-02-17T00:00:00"/>
    <n v="25"/>
    <n v="5906"/>
    <s v="Amit"/>
    <n v="147650"/>
  </r>
  <r>
    <n v="1012"/>
    <s v="Camera"/>
    <s v="Accessories"/>
    <x v="1"/>
    <d v="2023-12-07T00:00:00"/>
    <n v="35"/>
    <n v="35719"/>
    <s v="Neha"/>
    <n v="1250165"/>
  </r>
  <r>
    <n v="1027"/>
    <s v="Camera"/>
    <s v="Accessories"/>
    <x v="3"/>
    <d v="2024-05-11T00:00:00"/>
    <n v="35"/>
    <n v="18539"/>
    <s v="Riya"/>
    <n v="648865"/>
  </r>
  <r>
    <n v="1017"/>
    <s v="Laptop"/>
    <s v="Electronics"/>
    <x v="1"/>
    <d v="2024-04-25T00:00:00"/>
    <n v="46"/>
    <n v="45773"/>
    <s v="Sakshi"/>
    <n v="2105558"/>
  </r>
  <r>
    <n v="1043"/>
    <s v="Keyboard"/>
    <s v="Electronics"/>
    <x v="0"/>
    <d v="2024-02-29T00:00:00"/>
    <n v="35"/>
    <n v="29959"/>
    <s v="John"/>
    <n v="1048565"/>
  </r>
  <r>
    <n v="1028"/>
    <s v="Camera"/>
    <s v="Electronics"/>
    <x v="1"/>
    <d v="2025-06-03T00:00:00"/>
    <n v="47"/>
    <n v="21670"/>
    <s v="Amit"/>
    <n v="1018490"/>
  </r>
  <r>
    <n v="1040"/>
    <s v="Mouse"/>
    <s v="Accessories"/>
    <x v="0"/>
    <d v="2025-02-01T00:00:00"/>
    <n v="44"/>
    <n v="11539"/>
    <s v="John"/>
    <n v="507716"/>
  </r>
  <r>
    <n v="1022"/>
    <s v="Speaker"/>
    <s v="Accessories"/>
    <x v="1"/>
    <d v="2025-08-17T00:00:00"/>
    <n v="17"/>
    <n v="49583"/>
    <s v="Carlos"/>
    <n v="842911"/>
  </r>
  <r>
    <n v="1010"/>
    <s v="Camera"/>
    <s v="Accessories"/>
    <x v="0"/>
    <d v="2023-02-28T00:00:00"/>
    <n v="9"/>
    <n v="20769"/>
    <s v="Amit"/>
    <n v="186921"/>
  </r>
  <r>
    <n v="1041"/>
    <s v="Mouse"/>
    <s v="Electronics"/>
    <x v="1"/>
    <d v="2023-03-19T00:00:00"/>
    <n v="11"/>
    <n v="33133"/>
    <s v="Arjun"/>
    <n v="364463"/>
  </r>
  <r>
    <n v="1006"/>
    <s v="Tablet"/>
    <s v="Accessories"/>
    <x v="0"/>
    <d v="2023-01-09T00:00:00"/>
    <n v="39"/>
    <n v="41804"/>
    <s v="Sakshi"/>
    <n v="1630356"/>
  </r>
  <r>
    <n v="1017"/>
    <s v="Mobile"/>
    <s v="Electronics"/>
    <x v="2"/>
    <d v="2024-01-26T00:00:00"/>
    <n v="12"/>
    <n v="47266"/>
    <s v="John"/>
    <n v="567192"/>
  </r>
  <r>
    <n v="1012"/>
    <s v="Smartwatch"/>
    <s v="Electronics"/>
    <x v="0"/>
    <d v="2025-12-25T00:00:00"/>
    <n v="24"/>
    <n v="36945"/>
    <s v="John"/>
    <n v="886680"/>
  </r>
  <r>
    <n v="1006"/>
    <s v="Headphones"/>
    <s v="Accessories"/>
    <x v="3"/>
    <d v="2024-07-06T00:00:00"/>
    <n v="27"/>
    <n v="32431"/>
    <s v="John"/>
    <n v="875637"/>
  </r>
  <r>
    <n v="1043"/>
    <s v="Tablet"/>
    <s v="Electronics"/>
    <x v="2"/>
    <d v="2024-04-05T00:00:00"/>
    <n v="22"/>
    <n v="3376"/>
    <s v="John"/>
    <n v="74272"/>
  </r>
  <r>
    <n v="1022"/>
    <s v="Mobile"/>
    <s v="Accessories"/>
    <x v="1"/>
    <d v="2024-09-27T00:00:00"/>
    <n v="6"/>
    <n v="16201"/>
    <s v="Fatima"/>
    <n v="97206"/>
  </r>
  <r>
    <n v="1016"/>
    <s v="Keyboard"/>
    <s v="Accessories"/>
    <x v="0"/>
    <d v="2023-05-16T00:00:00"/>
    <n v="5"/>
    <n v="38218"/>
    <s v="Arjun"/>
    <n v="191090"/>
  </r>
  <r>
    <n v="1004"/>
    <s v="Camera"/>
    <s v="Electronics"/>
    <x v="0"/>
    <d v="2025-02-20T00:00:00"/>
    <n v="32"/>
    <n v="25480"/>
    <s v="Amit"/>
    <n v="815360"/>
  </r>
  <r>
    <n v="1025"/>
    <s v="Mobile"/>
    <s v="Electronics"/>
    <x v="0"/>
    <d v="2025-02-02T00:00:00"/>
    <n v="9"/>
    <n v="2402"/>
    <s v="Carlos"/>
    <n v="21618"/>
  </r>
  <r>
    <n v="1033"/>
    <s v="Speaker"/>
    <s v="Accessories"/>
    <x v="1"/>
    <d v="2024-04-16T00:00:00"/>
    <n v="31"/>
    <n v="672"/>
    <s v="Carlos"/>
    <n v="20832"/>
  </r>
  <r>
    <n v="1001"/>
    <s v="Speaker"/>
    <s v="Electronics"/>
    <x v="3"/>
    <d v="2024-07-29T00:00:00"/>
    <n v="16"/>
    <n v="9809"/>
    <s v="John"/>
    <n v="156944"/>
  </r>
  <r>
    <n v="1015"/>
    <s v="Headphones"/>
    <s v="Accessories"/>
    <x v="1"/>
    <d v="2024-04-26T00:00:00"/>
    <n v="37"/>
    <n v="24836"/>
    <s v="Carlos"/>
    <n v="918932"/>
  </r>
  <r>
    <n v="1017"/>
    <s v="Headphones"/>
    <s v="Accessories"/>
    <x v="0"/>
    <d v="2024-05-30T00:00:00"/>
    <n v="19"/>
    <n v="6702"/>
    <s v="Riya"/>
    <n v="127338"/>
  </r>
  <r>
    <n v="1043"/>
    <s v="Mouse"/>
    <s v="Electronics"/>
    <x v="2"/>
    <d v="2023-01-18T00:00:00"/>
    <n v="24"/>
    <n v="29020"/>
    <s v="John"/>
    <n v="696480"/>
  </r>
  <r>
    <n v="1019"/>
    <s v="Smartwatch"/>
    <s v="Accessories"/>
    <x v="0"/>
    <d v="2025-01-20T00:00:00"/>
    <n v="12"/>
    <n v="46964"/>
    <s v="Riya"/>
    <n v="563568"/>
  </r>
  <r>
    <n v="1019"/>
    <s v="Smartwatch"/>
    <s v="Accessories"/>
    <x v="2"/>
    <d v="2023-07-17T00:00:00"/>
    <n v="41"/>
    <n v="1417"/>
    <s v="Carlos"/>
    <n v="58097"/>
  </r>
  <r>
    <n v="1020"/>
    <s v="Smartwatch"/>
    <s v="Accessories"/>
    <x v="0"/>
    <d v="2024-09-01T00:00:00"/>
    <n v="11"/>
    <n v="39815"/>
    <s v="Carlos"/>
    <n v="437965"/>
  </r>
  <r>
    <n v="1001"/>
    <s v="Smartwatch"/>
    <s v="Electronics"/>
    <x v="3"/>
    <d v="2024-07-16T00:00:00"/>
    <n v="45"/>
    <n v="13917"/>
    <s v="Riya"/>
    <n v="626265"/>
  </r>
  <r>
    <n v="1023"/>
    <s v="Headphones"/>
    <s v="Accessories"/>
    <x v="3"/>
    <d v="2024-10-20T00:00:00"/>
    <n v="25"/>
    <n v="3458"/>
    <s v="Amit"/>
    <n v="86450"/>
  </r>
  <r>
    <n v="1016"/>
    <s v="Smartwatch"/>
    <s v="Electronics"/>
    <x v="1"/>
    <d v="2024-07-11T00:00:00"/>
    <n v="23"/>
    <n v="28188"/>
    <s v="John"/>
    <n v="648324"/>
  </r>
  <r>
    <n v="1024"/>
    <s v="Laptop"/>
    <s v="Electronics"/>
    <x v="3"/>
    <d v="2025-07-20T00:00:00"/>
    <n v="46"/>
    <n v="22255"/>
    <s v="Carlos"/>
    <n v="1023730"/>
  </r>
  <r>
    <n v="1020"/>
    <s v="Speaker"/>
    <s v="Electronics"/>
    <x v="2"/>
    <d v="2024-04-20T00:00:00"/>
    <n v="34"/>
    <n v="41766"/>
    <s v="Sakshi"/>
    <n v="1420044"/>
  </r>
  <r>
    <n v="1015"/>
    <s v="Mouse"/>
    <s v="Electronics"/>
    <x v="1"/>
    <d v="2024-11-17T00:00:00"/>
    <n v="15"/>
    <n v="10543"/>
    <s v="Amit"/>
    <n v="158145"/>
  </r>
  <r>
    <n v="1024"/>
    <s v="Speaker"/>
    <s v="Electronics"/>
    <x v="3"/>
    <d v="2024-05-18T00:00:00"/>
    <n v="43"/>
    <n v="33130"/>
    <s v="Arjun"/>
    <n v="1424590"/>
  </r>
  <r>
    <n v="1037"/>
    <s v="Smartwatch"/>
    <s v="Accessories"/>
    <x v="0"/>
    <d v="2023-03-15T00:00:00"/>
    <n v="48"/>
    <n v="14986"/>
    <s v="Riya"/>
    <n v="719328"/>
  </r>
  <r>
    <n v="1041"/>
    <s v="Keyboard"/>
    <s v="Accessories"/>
    <x v="3"/>
    <d v="2025-09-04T00:00:00"/>
    <n v="3"/>
    <n v="49644"/>
    <s v="Fatima"/>
    <n v="148932"/>
  </r>
  <r>
    <n v="1033"/>
    <s v="Mouse"/>
    <s v="Accessories"/>
    <x v="1"/>
    <d v="2024-07-28T00:00:00"/>
    <n v="14"/>
    <n v="34098"/>
    <s v="John"/>
    <n v="477372"/>
  </r>
  <r>
    <n v="1032"/>
    <s v="Mobile"/>
    <s v="Electronics"/>
    <x v="3"/>
    <d v="2023-04-03T00:00:00"/>
    <n v="20"/>
    <n v="9116"/>
    <s v="Riya"/>
    <n v="182320"/>
  </r>
  <r>
    <n v="1031"/>
    <s v="Monitor"/>
    <s v="Accessories"/>
    <x v="2"/>
    <d v="2024-04-04T00:00:00"/>
    <n v="48"/>
    <n v="4251"/>
    <s v="Fatima"/>
    <n v="204048"/>
  </r>
  <r>
    <n v="1015"/>
    <s v="Camera"/>
    <s v="Electronics"/>
    <x v="2"/>
    <d v="2025-06-18T00:00:00"/>
    <n v="49"/>
    <n v="13564"/>
    <s v="Fatima"/>
    <n v="664636"/>
  </r>
  <r>
    <n v="1001"/>
    <s v="Mobile"/>
    <s v="Accessories"/>
    <x v="2"/>
    <d v="2024-07-11T00:00:00"/>
    <n v="26"/>
    <n v="2305"/>
    <s v="Fatima"/>
    <n v="59930"/>
  </r>
  <r>
    <n v="1049"/>
    <s v="Mouse"/>
    <s v="Electronics"/>
    <x v="2"/>
    <d v="2024-09-26T00:00:00"/>
    <n v="44"/>
    <n v="8689"/>
    <s v="Sakshi"/>
    <n v="382316"/>
  </r>
  <r>
    <n v="1012"/>
    <s v="Monitor"/>
    <s v="Accessories"/>
    <x v="2"/>
    <d v="2024-03-18T00:00:00"/>
    <n v="37"/>
    <n v="13412"/>
    <s v="Arjun"/>
    <n v="496244"/>
  </r>
  <r>
    <n v="1035"/>
    <s v="Headphones"/>
    <s v="Accessories"/>
    <x v="1"/>
    <d v="2024-02-12T00:00:00"/>
    <n v="4"/>
    <n v="31104"/>
    <s v="John"/>
    <n v="124416"/>
  </r>
  <r>
    <n v="1037"/>
    <s v="Tablet"/>
    <s v="Electronics"/>
    <x v="3"/>
    <d v="2023-10-09T00:00:00"/>
    <n v="40"/>
    <n v="49743"/>
    <s v="John"/>
    <n v="1989720"/>
  </r>
  <r>
    <n v="1048"/>
    <s v="Monitor"/>
    <s v="Electronics"/>
    <x v="1"/>
    <d v="2025-03-06T00:00:00"/>
    <n v="46"/>
    <n v="25934"/>
    <s v="Sakshi"/>
    <n v="1192964"/>
  </r>
  <r>
    <n v="1030"/>
    <s v="Tablet"/>
    <s v="Accessories"/>
    <x v="3"/>
    <d v="2024-03-17T00:00:00"/>
    <n v="46"/>
    <n v="13818"/>
    <s v="Carlos"/>
    <n v="635628"/>
  </r>
  <r>
    <n v="1026"/>
    <s v="Camera"/>
    <s v="Electronics"/>
    <x v="2"/>
    <d v="2024-09-14T00:00:00"/>
    <n v="35"/>
    <n v="42271"/>
    <s v="Riya"/>
    <n v="1479485"/>
  </r>
  <r>
    <n v="1011"/>
    <s v="Keyboard"/>
    <s v="Electronics"/>
    <x v="0"/>
    <d v="2023-09-17T00:00:00"/>
    <n v="23"/>
    <n v="18637"/>
    <s v="Neha"/>
    <n v="428651"/>
  </r>
  <r>
    <n v="1032"/>
    <s v="Mobile"/>
    <s v="Electronics"/>
    <x v="0"/>
    <d v="2024-12-19T00:00:00"/>
    <n v="47"/>
    <n v="12453"/>
    <s v="Fatima"/>
    <n v="585291"/>
  </r>
  <r>
    <n v="1002"/>
    <s v="Mobile"/>
    <s v="Electronics"/>
    <x v="0"/>
    <d v="2025-08-13T00:00:00"/>
    <n v="25"/>
    <n v="20463"/>
    <s v="John"/>
    <n v="511575"/>
  </r>
  <r>
    <n v="1010"/>
    <s v="Camera"/>
    <s v="Electronics"/>
    <x v="3"/>
    <d v="2024-03-08T00:00:00"/>
    <n v="36"/>
    <n v="1831"/>
    <s v="Amit"/>
    <n v="65916"/>
  </r>
  <r>
    <n v="1046"/>
    <s v="Camera"/>
    <s v="Electronics"/>
    <x v="3"/>
    <d v="2025-09-10T00:00:00"/>
    <n v="13"/>
    <n v="47077"/>
    <s v="Carlos"/>
    <n v="612001"/>
  </r>
  <r>
    <n v="1022"/>
    <s v="Smartwatch"/>
    <s v="Accessories"/>
    <x v="1"/>
    <d v="2025-05-05T00:00:00"/>
    <n v="28"/>
    <n v="49607"/>
    <s v="Fatima"/>
    <n v="1388996"/>
  </r>
  <r>
    <n v="1009"/>
    <s v="Camera"/>
    <s v="Electronics"/>
    <x v="1"/>
    <d v="2024-09-04T00:00:00"/>
    <n v="49"/>
    <n v="36960"/>
    <s v="Riya"/>
    <n v="1811040"/>
  </r>
  <r>
    <n v="1030"/>
    <s v="Keyboard"/>
    <s v="Accessories"/>
    <x v="3"/>
    <d v="2025-06-19T00:00:00"/>
    <n v="10"/>
    <n v="27462"/>
    <s v="Carlos"/>
    <n v="274620"/>
  </r>
  <r>
    <n v="1025"/>
    <s v="Monitor"/>
    <s v="Accessories"/>
    <x v="2"/>
    <d v="2023-11-22T00:00:00"/>
    <n v="13"/>
    <n v="7180"/>
    <s v="Amit"/>
    <n v="93340"/>
  </r>
  <r>
    <n v="1021"/>
    <s v="Keyboard"/>
    <s v="Electronics"/>
    <x v="2"/>
    <d v="2023-11-09T00:00:00"/>
    <n v="44"/>
    <n v="49088"/>
    <s v="Fatima"/>
    <n v="2159872"/>
  </r>
  <r>
    <n v="1018"/>
    <s v="Keyboard"/>
    <s v="Accessories"/>
    <x v="2"/>
    <d v="2024-07-26T00:00:00"/>
    <n v="3"/>
    <n v="49035"/>
    <s v="Carlos"/>
    <n v="147105"/>
  </r>
  <r>
    <n v="1020"/>
    <s v="Smartwatch"/>
    <s v="Accessories"/>
    <x v="0"/>
    <d v="2024-10-11T00:00:00"/>
    <n v="19"/>
    <n v="45677"/>
    <s v="Arjun"/>
    <n v="867863"/>
  </r>
  <r>
    <n v="1040"/>
    <s v="Monitor"/>
    <s v="Electronics"/>
    <x v="1"/>
    <d v="2025-09-24T00:00:00"/>
    <n v="18"/>
    <n v="10431"/>
    <s v="Neha"/>
    <n v="187758"/>
  </r>
  <r>
    <n v="1016"/>
    <s v="Mobile"/>
    <s v="Electronics"/>
    <x v="0"/>
    <d v="2024-11-04T00:00:00"/>
    <n v="43"/>
    <n v="15724"/>
    <s v="Carlos"/>
    <n v="676132"/>
  </r>
  <r>
    <n v="1049"/>
    <s v="Camera"/>
    <s v="Accessories"/>
    <x v="1"/>
    <d v="2025-12-29T00:00:00"/>
    <n v="38"/>
    <n v="7333"/>
    <s v="Fatima"/>
    <n v="278654"/>
  </r>
  <r>
    <n v="1039"/>
    <s v="Monitor"/>
    <s v="Electronics"/>
    <x v="2"/>
    <d v="2024-09-28T00:00:00"/>
    <n v="46"/>
    <n v="12588"/>
    <s v="Arjun"/>
    <n v="579048"/>
  </r>
  <r>
    <n v="1035"/>
    <s v="Headphones"/>
    <s v="Electronics"/>
    <x v="2"/>
    <d v="2023-11-19T00:00:00"/>
    <n v="20"/>
    <n v="11708"/>
    <s v="Fatima"/>
    <n v="234160"/>
  </r>
  <r>
    <n v="1029"/>
    <s v="Camera"/>
    <s v="Electronics"/>
    <x v="2"/>
    <d v="2025-10-31T00:00:00"/>
    <n v="13"/>
    <n v="43464"/>
    <s v="Riya"/>
    <n v="565032"/>
  </r>
  <r>
    <n v="1046"/>
    <s v="Mouse"/>
    <s v="Electronics"/>
    <x v="0"/>
    <d v="2025-03-02T00:00:00"/>
    <n v="2"/>
    <n v="8303"/>
    <s v="Riya"/>
    <n v="16606"/>
  </r>
  <r>
    <n v="1030"/>
    <s v="Tablet"/>
    <s v="Accessories"/>
    <x v="2"/>
    <d v="2025-01-01T00:00:00"/>
    <n v="12"/>
    <n v="10284"/>
    <s v="Amit"/>
    <n v="123408"/>
  </r>
  <r>
    <n v="1048"/>
    <s v="Tablet"/>
    <s v="Accessories"/>
    <x v="2"/>
    <d v="2023-10-18T00:00:00"/>
    <n v="7"/>
    <n v="39148"/>
    <s v="Amit"/>
    <n v="274036"/>
  </r>
  <r>
    <n v="1003"/>
    <s v="Mouse"/>
    <s v="Electronics"/>
    <x v="0"/>
    <d v="2025-05-05T00:00:00"/>
    <n v="2"/>
    <n v="48542"/>
    <s v="Amit"/>
    <n v="97084"/>
  </r>
  <r>
    <n v="1032"/>
    <s v="Speaker"/>
    <s v="Electronics"/>
    <x v="2"/>
    <d v="2024-10-27T00:00:00"/>
    <n v="21"/>
    <n v="43463"/>
    <s v="Neha"/>
    <n v="912723"/>
  </r>
  <r>
    <n v="1014"/>
    <s v="Speaker"/>
    <s v="Accessories"/>
    <x v="2"/>
    <d v="2024-02-06T00:00:00"/>
    <n v="36"/>
    <n v="25184"/>
    <s v="Amit"/>
    <n v="906624"/>
  </r>
  <r>
    <n v="1026"/>
    <s v="Laptop"/>
    <s v="Electronics"/>
    <x v="0"/>
    <d v="2023-07-14T00:00:00"/>
    <n v="38"/>
    <n v="40527"/>
    <s v="Neha"/>
    <n v="1540026"/>
  </r>
  <r>
    <n v="1005"/>
    <s v="Smartwatch"/>
    <s v="Electronics"/>
    <x v="3"/>
    <d v="2025-10-31T00:00:00"/>
    <n v="43"/>
    <n v="11673"/>
    <s v="Arjun"/>
    <n v="501939"/>
  </r>
  <r>
    <n v="1028"/>
    <s v="Mobile"/>
    <s v="Accessories"/>
    <x v="1"/>
    <d v="2025-01-27T00:00:00"/>
    <n v="9"/>
    <n v="30912"/>
    <s v="Neha"/>
    <n v="278208"/>
  </r>
  <r>
    <n v="1008"/>
    <s v="Monitor"/>
    <s v="Accessories"/>
    <x v="2"/>
    <d v="2025-09-19T00:00:00"/>
    <n v="48"/>
    <n v="41433"/>
    <s v="Sakshi"/>
    <n v="1988784"/>
  </r>
  <r>
    <n v="1045"/>
    <s v="Speaker"/>
    <s v="Accessories"/>
    <x v="2"/>
    <d v="2023-12-22T00:00:00"/>
    <n v="27"/>
    <n v="2995"/>
    <s v="Arjun"/>
    <n v="80865"/>
  </r>
  <r>
    <n v="1048"/>
    <s v="Mouse"/>
    <s v="Accessories"/>
    <x v="0"/>
    <d v="2024-06-03T00:00:00"/>
    <n v="11"/>
    <n v="6204"/>
    <s v="John"/>
    <n v="68244"/>
  </r>
  <r>
    <n v="1033"/>
    <s v="Mouse"/>
    <s v="Electronics"/>
    <x v="3"/>
    <d v="2024-03-30T00:00:00"/>
    <n v="25"/>
    <n v="7983"/>
    <s v="Arjun"/>
    <n v="199575"/>
  </r>
  <r>
    <n v="1036"/>
    <s v="Smartwatch"/>
    <s v="Electronics"/>
    <x v="0"/>
    <d v="2025-09-05T00:00:00"/>
    <n v="27"/>
    <n v="8336"/>
    <s v="Arjun"/>
    <n v="225072"/>
  </r>
  <r>
    <n v="1013"/>
    <s v="Tablet"/>
    <s v="Accessories"/>
    <x v="3"/>
    <d v="2023-08-09T00:00:00"/>
    <n v="27"/>
    <n v="18575"/>
    <s v="Arjun"/>
    <n v="501525"/>
  </r>
  <r>
    <n v="1020"/>
    <s v="Smartwatch"/>
    <s v="Accessories"/>
    <x v="0"/>
    <d v="2024-02-27T00:00:00"/>
    <n v="5"/>
    <n v="13602"/>
    <s v="Arjun"/>
    <n v="68010"/>
  </r>
  <r>
    <n v="1018"/>
    <s v="Keyboard"/>
    <s v="Accessories"/>
    <x v="0"/>
    <d v="2025-06-20T00:00:00"/>
    <n v="17"/>
    <n v="39114"/>
    <s v="Riya"/>
    <n v="664938"/>
  </r>
  <r>
    <n v="1020"/>
    <s v="Monitor"/>
    <s v="Electronics"/>
    <x v="3"/>
    <d v="2023-05-18T00:00:00"/>
    <n v="24"/>
    <n v="10568"/>
    <s v="Arjun"/>
    <n v="253632"/>
  </r>
  <r>
    <n v="1043"/>
    <s v="Speaker"/>
    <s v="Accessories"/>
    <x v="3"/>
    <d v="2023-06-18T00:00:00"/>
    <n v="2"/>
    <n v="3348"/>
    <s v="John"/>
    <n v="6696"/>
  </r>
  <r>
    <n v="1033"/>
    <s v="Speaker"/>
    <s v="Electronics"/>
    <x v="1"/>
    <d v="2023-08-04T00:00:00"/>
    <n v="39"/>
    <n v="10827"/>
    <s v="Riya"/>
    <n v="422253"/>
  </r>
  <r>
    <n v="1021"/>
    <s v="Camera"/>
    <s v="Electronics"/>
    <x v="0"/>
    <d v="2025-01-14T00:00:00"/>
    <n v="27"/>
    <n v="7032"/>
    <s v="Carlos"/>
    <n v="189864"/>
  </r>
  <r>
    <n v="1046"/>
    <s v="Laptop"/>
    <s v="Accessories"/>
    <x v="2"/>
    <d v="2024-08-24T00:00:00"/>
    <n v="19"/>
    <n v="36183"/>
    <s v="Riya"/>
    <n v="687477"/>
  </r>
  <r>
    <n v="1024"/>
    <s v="Tablet"/>
    <s v="Electronics"/>
    <x v="2"/>
    <d v="2025-03-29T00:00:00"/>
    <n v="47"/>
    <n v="7601"/>
    <s v="Riya"/>
    <n v="357247"/>
  </r>
  <r>
    <n v="1028"/>
    <s v="Camera"/>
    <s v="Electronics"/>
    <x v="3"/>
    <d v="2025-12-04T00:00:00"/>
    <n v="21"/>
    <n v="19783"/>
    <s v="John"/>
    <n v="415443"/>
  </r>
  <r>
    <n v="1005"/>
    <s v="Tablet"/>
    <s v="Electronics"/>
    <x v="1"/>
    <d v="2024-08-27T00:00:00"/>
    <n v="7"/>
    <n v="47061"/>
    <s v="Riya"/>
    <n v="329427"/>
  </r>
  <r>
    <n v="1030"/>
    <s v="Headphones"/>
    <s v="Accessories"/>
    <x v="0"/>
    <d v="2023-12-06T00:00:00"/>
    <n v="14"/>
    <n v="23236"/>
    <s v="Arjun"/>
    <n v="325304"/>
  </r>
  <r>
    <n v="1043"/>
    <s v="Mouse"/>
    <s v="Electronics"/>
    <x v="1"/>
    <d v="2023-12-04T00:00:00"/>
    <n v="13"/>
    <n v="39230"/>
    <s v="Sakshi"/>
    <n v="509990"/>
  </r>
  <r>
    <n v="1024"/>
    <s v="Headphones"/>
    <s v="Electronics"/>
    <x v="3"/>
    <d v="2025-09-26T00:00:00"/>
    <n v="6"/>
    <n v="38569"/>
    <s v="John"/>
    <n v="231414"/>
  </r>
  <r>
    <n v="1039"/>
    <s v="Camera"/>
    <s v="Accessories"/>
    <x v="3"/>
    <d v="2024-01-19T00:00:00"/>
    <n v="30"/>
    <n v="4642"/>
    <s v="Carlos"/>
    <n v="139260"/>
  </r>
  <r>
    <n v="1014"/>
    <s v="Speaker"/>
    <s v="Accessories"/>
    <x v="3"/>
    <d v="2024-07-27T00:00:00"/>
    <n v="38"/>
    <n v="48243"/>
    <s v="Arjun"/>
    <n v="1833234"/>
  </r>
  <r>
    <n v="1036"/>
    <s v="Smartwatch"/>
    <s v="Accessories"/>
    <x v="1"/>
    <d v="2025-10-10T00:00:00"/>
    <n v="15"/>
    <n v="49824"/>
    <s v="Amit"/>
    <n v="747360"/>
  </r>
  <r>
    <n v="1036"/>
    <s v="Keyboard"/>
    <s v="Electronics"/>
    <x v="2"/>
    <d v="2023-09-05T00:00:00"/>
    <n v="24"/>
    <n v="18081"/>
    <s v="Carlos"/>
    <n v="433944"/>
  </r>
  <r>
    <n v="1026"/>
    <s v="Monitor"/>
    <s v="Accessories"/>
    <x v="2"/>
    <d v="2025-11-04T00:00:00"/>
    <n v="11"/>
    <n v="29029"/>
    <s v="Riya"/>
    <n v="319319"/>
  </r>
  <r>
    <n v="1013"/>
    <s v="Mouse"/>
    <s v="Electronics"/>
    <x v="2"/>
    <d v="2025-04-10T00:00:00"/>
    <n v="27"/>
    <n v="11890"/>
    <s v="Fatima"/>
    <n v="321030"/>
  </r>
  <r>
    <n v="1040"/>
    <s v="Camera"/>
    <s v="Electronics"/>
    <x v="1"/>
    <d v="2025-07-13T00:00:00"/>
    <n v="32"/>
    <n v="16647"/>
    <s v="Neha"/>
    <n v="532704"/>
  </r>
  <r>
    <n v="1021"/>
    <s v="Speaker"/>
    <s v="Electronics"/>
    <x v="0"/>
    <d v="2024-09-21T00:00:00"/>
    <n v="33"/>
    <n v="17191"/>
    <s v="Sakshi"/>
    <n v="567303"/>
  </r>
  <r>
    <n v="1026"/>
    <s v="Speaker"/>
    <s v="Electronics"/>
    <x v="1"/>
    <d v="2024-08-15T00:00:00"/>
    <n v="32"/>
    <n v="38880"/>
    <s v="Fatima"/>
    <n v="1244160"/>
  </r>
  <r>
    <n v="1034"/>
    <s v="Headphones"/>
    <s v="Accessories"/>
    <x v="2"/>
    <d v="2025-01-22T00:00:00"/>
    <n v="12"/>
    <n v="39743"/>
    <s v="Amit"/>
    <n v="476916"/>
  </r>
  <r>
    <n v="1040"/>
    <s v="Camera"/>
    <s v="Electronics"/>
    <x v="3"/>
    <d v="2023-08-27T00:00:00"/>
    <n v="39"/>
    <n v="30391"/>
    <s v="Neha"/>
    <n v="1185249"/>
  </r>
  <r>
    <n v="1014"/>
    <s v="Monitor"/>
    <s v="Accessories"/>
    <x v="3"/>
    <d v="2023-05-24T00:00:00"/>
    <n v="21"/>
    <n v="48703"/>
    <s v="Amit"/>
    <n v="1022763"/>
  </r>
  <r>
    <n v="1021"/>
    <s v="Keyboard"/>
    <s v="Electronics"/>
    <x v="2"/>
    <d v="2024-04-09T00:00:00"/>
    <n v="25"/>
    <n v="48592"/>
    <s v="Amit"/>
    <n v="1214800"/>
  </r>
  <r>
    <n v="1043"/>
    <s v="Camera"/>
    <s v="Accessories"/>
    <x v="0"/>
    <d v="2024-10-01T00:00:00"/>
    <n v="23"/>
    <n v="38239"/>
    <s v="Amit"/>
    <n v="879497"/>
  </r>
  <r>
    <n v="1049"/>
    <s v="Laptop"/>
    <s v="Electronics"/>
    <x v="3"/>
    <d v="2024-05-09T00:00:00"/>
    <n v="30"/>
    <n v="5031"/>
    <s v="Amit"/>
    <n v="150930"/>
  </r>
  <r>
    <n v="1047"/>
    <s v="Laptop"/>
    <s v="Accessories"/>
    <x v="0"/>
    <d v="2025-10-03T00:00:00"/>
    <n v="18"/>
    <n v="46595"/>
    <s v="Amit"/>
    <n v="838710"/>
  </r>
  <r>
    <n v="1019"/>
    <s v="Smartwatch"/>
    <s v="Electronics"/>
    <x v="3"/>
    <d v="2025-01-21T00:00:00"/>
    <n v="26"/>
    <n v="8867"/>
    <s v="Carlos"/>
    <n v="230542"/>
  </r>
  <r>
    <n v="1012"/>
    <s v="Laptop"/>
    <s v="Electronics"/>
    <x v="2"/>
    <d v="2025-06-04T00:00:00"/>
    <n v="20"/>
    <n v="38538"/>
    <s v="Amit"/>
    <n v="770760"/>
  </r>
  <r>
    <n v="1036"/>
    <s v="Laptop"/>
    <s v="Accessories"/>
    <x v="1"/>
    <d v="2024-05-31T00:00:00"/>
    <n v="41"/>
    <n v="27893"/>
    <s v="Riya"/>
    <n v="1143613"/>
  </r>
  <r>
    <n v="1030"/>
    <s v="Tablet"/>
    <s v="Electronics"/>
    <x v="1"/>
    <d v="2023-05-30T00:00:00"/>
    <n v="35"/>
    <n v="23353"/>
    <s v="Sakshi"/>
    <n v="817355"/>
  </r>
  <r>
    <n v="1044"/>
    <s v="Camera"/>
    <s v="Accessories"/>
    <x v="0"/>
    <d v="2024-06-28T00:00:00"/>
    <n v="47"/>
    <n v="5513"/>
    <s v="Neha"/>
    <n v="259111"/>
  </r>
  <r>
    <n v="1033"/>
    <s v="Mouse"/>
    <s v="Accessories"/>
    <x v="2"/>
    <d v="2023-04-17T00:00:00"/>
    <n v="13"/>
    <n v="16721"/>
    <s v="Carlos"/>
    <n v="217373"/>
  </r>
  <r>
    <n v="1044"/>
    <s v="Laptop"/>
    <s v="Electronics"/>
    <x v="3"/>
    <d v="2023-12-26T00:00:00"/>
    <n v="42"/>
    <n v="24242"/>
    <s v="Carlos"/>
    <n v="1018164"/>
  </r>
  <r>
    <n v="1023"/>
    <s v="Tablet"/>
    <s v="Accessories"/>
    <x v="0"/>
    <d v="2025-02-08T00:00:00"/>
    <n v="3"/>
    <n v="33770"/>
    <s v="Fatima"/>
    <n v="101310"/>
  </r>
  <r>
    <n v="1041"/>
    <s v="Mobile"/>
    <s v="Electronics"/>
    <x v="2"/>
    <d v="2024-05-03T00:00:00"/>
    <n v="33"/>
    <n v="10853"/>
    <s v="Neha"/>
    <n v="358149"/>
  </r>
  <r>
    <n v="1013"/>
    <s v="Smartwatch"/>
    <s v="Accessories"/>
    <x v="1"/>
    <d v="2025-07-02T00:00:00"/>
    <n v="42"/>
    <n v="19855"/>
    <s v="Fatima"/>
    <n v="833910"/>
  </r>
  <r>
    <n v="1028"/>
    <s v="Smartwatch"/>
    <s v="Accessories"/>
    <x v="1"/>
    <d v="2025-03-01T00:00:00"/>
    <n v="42"/>
    <n v="15370"/>
    <s v="Fatima"/>
    <n v="645540"/>
  </r>
  <r>
    <n v="1028"/>
    <s v="Mouse"/>
    <s v="Electronics"/>
    <x v="1"/>
    <d v="2023-02-23T00:00:00"/>
    <n v="44"/>
    <n v="47093"/>
    <s v="Amit"/>
    <n v="2072092"/>
  </r>
  <r>
    <n v="1019"/>
    <s v="Mobile"/>
    <s v="Electronics"/>
    <x v="0"/>
    <d v="2023-11-27T00:00:00"/>
    <n v="2"/>
    <n v="41412"/>
    <s v="Amit"/>
    <n v="82824"/>
  </r>
  <r>
    <n v="1037"/>
    <s v="Speaker"/>
    <s v="Accessories"/>
    <x v="1"/>
    <d v="2024-05-10T00:00:00"/>
    <n v="22"/>
    <n v="5118"/>
    <s v="Riya"/>
    <n v="112596"/>
  </r>
  <r>
    <n v="1031"/>
    <s v="Headphones"/>
    <s v="Electronics"/>
    <x v="0"/>
    <d v="2025-06-15T00:00:00"/>
    <n v="41"/>
    <n v="8616"/>
    <s v="Riya"/>
    <n v="353256"/>
  </r>
  <r>
    <n v="1042"/>
    <s v="Camera"/>
    <s v="Accessories"/>
    <x v="3"/>
    <d v="2025-05-31T00:00:00"/>
    <n v="4"/>
    <n v="4274"/>
    <s v="Carlos"/>
    <n v="17096"/>
  </r>
  <r>
    <n v="1039"/>
    <s v="Camera"/>
    <s v="Electronics"/>
    <x v="1"/>
    <d v="2023-12-17T00:00:00"/>
    <n v="40"/>
    <n v="4058"/>
    <s v="Fatima"/>
    <n v="162320"/>
  </r>
  <r>
    <n v="1017"/>
    <s v="Camera"/>
    <s v="Electronics"/>
    <x v="1"/>
    <d v="2024-08-06T00:00:00"/>
    <n v="39"/>
    <n v="39661"/>
    <s v="Riya"/>
    <n v="1546779"/>
  </r>
  <r>
    <n v="1028"/>
    <s v="Monitor"/>
    <s v="Electronics"/>
    <x v="1"/>
    <d v="2025-11-29T00:00:00"/>
    <n v="29"/>
    <n v="2714"/>
    <s v="Amit"/>
    <n v="78706"/>
  </r>
  <r>
    <n v="1004"/>
    <s v="Monitor"/>
    <s v="Accessories"/>
    <x v="1"/>
    <d v="2025-06-05T00:00:00"/>
    <n v="30"/>
    <n v="18822"/>
    <s v="Carlos"/>
    <n v="564660"/>
  </r>
  <r>
    <n v="1006"/>
    <s v="Mobile"/>
    <s v="Electronics"/>
    <x v="3"/>
    <d v="2025-11-19T00:00:00"/>
    <n v="47"/>
    <n v="46069"/>
    <s v="Fatima"/>
    <n v="2165243"/>
  </r>
  <r>
    <n v="1019"/>
    <s v="Camera"/>
    <s v="Accessories"/>
    <x v="0"/>
    <d v="2025-11-09T00:00:00"/>
    <n v="14"/>
    <n v="43166"/>
    <s v="Sakshi"/>
    <n v="604324"/>
  </r>
  <r>
    <n v="1023"/>
    <s v="Laptop"/>
    <s v="Electronics"/>
    <x v="3"/>
    <d v="2023-10-21T00:00:00"/>
    <n v="2"/>
    <n v="39954"/>
    <s v="Riya"/>
    <n v="79908"/>
  </r>
  <r>
    <n v="1040"/>
    <s v="Smartwatch"/>
    <s v="Electronics"/>
    <x v="2"/>
    <d v="2023-01-02T00:00:00"/>
    <n v="16"/>
    <n v="2990"/>
    <s v="Sakshi"/>
    <n v="47840"/>
  </r>
  <r>
    <n v="1045"/>
    <s v="Laptop"/>
    <s v="Accessories"/>
    <x v="3"/>
    <d v="2023-05-14T00:00:00"/>
    <n v="12"/>
    <n v="3995"/>
    <s v="Riya"/>
    <n v="47940"/>
  </r>
  <r>
    <n v="1042"/>
    <s v="Headphones"/>
    <s v="Accessories"/>
    <x v="0"/>
    <d v="2023-12-28T00:00:00"/>
    <n v="41"/>
    <n v="17843"/>
    <s v="John"/>
    <n v="731563"/>
  </r>
  <r>
    <n v="1006"/>
    <s v="Keyboard"/>
    <s v="Accessories"/>
    <x v="2"/>
    <d v="2024-08-12T00:00:00"/>
    <n v="39"/>
    <n v="35198"/>
    <s v="Neha"/>
    <n v="1372722"/>
  </r>
  <r>
    <n v="1024"/>
    <s v="Mouse"/>
    <s v="Electronics"/>
    <x v="1"/>
    <d v="2023-01-26T00:00:00"/>
    <n v="43"/>
    <n v="23117"/>
    <s v="Sakshi"/>
    <n v="994031"/>
  </r>
  <r>
    <n v="1022"/>
    <s v="Mouse"/>
    <s v="Accessories"/>
    <x v="1"/>
    <d v="2024-09-01T00:00:00"/>
    <n v="38"/>
    <n v="43264"/>
    <s v="Amit"/>
    <n v="1644032"/>
  </r>
  <r>
    <n v="1021"/>
    <s v="Mouse"/>
    <s v="Accessories"/>
    <x v="1"/>
    <d v="2024-09-21T00:00:00"/>
    <n v="46"/>
    <n v="27344"/>
    <s v="Riya"/>
    <n v="1257824"/>
  </r>
  <r>
    <n v="1014"/>
    <s v="Smartwatch"/>
    <s v="Accessories"/>
    <x v="2"/>
    <d v="2024-04-22T00:00:00"/>
    <n v="31"/>
    <n v="43363"/>
    <s v="John"/>
    <n v="1344253"/>
  </r>
  <r>
    <n v="1024"/>
    <s v="Mobile"/>
    <s v="Electronics"/>
    <x v="0"/>
    <d v="2024-03-30T00:00:00"/>
    <n v="45"/>
    <n v="42930"/>
    <s v="Riya"/>
    <n v="1931850"/>
  </r>
  <r>
    <n v="1025"/>
    <s v="Tablet"/>
    <s v="Electronics"/>
    <x v="2"/>
    <d v="2024-03-18T00:00:00"/>
    <n v="41"/>
    <n v="18315"/>
    <s v="Carlos"/>
    <n v="750915"/>
  </r>
  <r>
    <n v="1017"/>
    <s v="Monitor"/>
    <s v="Electronics"/>
    <x v="1"/>
    <d v="2024-08-16T00:00:00"/>
    <n v="32"/>
    <n v="15729"/>
    <s v="Arjun"/>
    <n v="503328"/>
  </r>
  <r>
    <n v="1046"/>
    <s v="Headphones"/>
    <s v="Electronics"/>
    <x v="1"/>
    <d v="2024-02-10T00:00:00"/>
    <n v="33"/>
    <n v="28258"/>
    <s v="Neha"/>
    <n v="932514"/>
  </r>
  <r>
    <n v="1035"/>
    <s v="Laptop"/>
    <s v="Electronics"/>
    <x v="1"/>
    <d v="2024-03-15T00:00:00"/>
    <n v="14"/>
    <n v="30629"/>
    <s v="Fatima"/>
    <n v="428806"/>
  </r>
  <r>
    <n v="1017"/>
    <s v="Laptop"/>
    <s v="Electronics"/>
    <x v="2"/>
    <d v="2024-04-09T00:00:00"/>
    <n v="12"/>
    <n v="24922"/>
    <s v="John"/>
    <n v="299064"/>
  </r>
  <r>
    <n v="1028"/>
    <s v="Laptop"/>
    <s v="Electronics"/>
    <x v="2"/>
    <d v="2025-11-02T00:00:00"/>
    <n v="45"/>
    <n v="13440"/>
    <s v="Neha"/>
    <n v="604800"/>
  </r>
  <r>
    <n v="1002"/>
    <s v="Mouse"/>
    <s v="Accessories"/>
    <x v="0"/>
    <d v="2023-04-03T00:00:00"/>
    <n v="18"/>
    <n v="4550"/>
    <s v="Neha"/>
    <n v="81900"/>
  </r>
  <r>
    <n v="1034"/>
    <s v="Tablet"/>
    <s v="Accessories"/>
    <x v="1"/>
    <d v="2024-09-10T00:00:00"/>
    <n v="35"/>
    <n v="23721"/>
    <s v="John"/>
    <n v="830235"/>
  </r>
  <r>
    <n v="1001"/>
    <s v="Headphones"/>
    <s v="Accessories"/>
    <x v="2"/>
    <d v="2023-06-15T00:00:00"/>
    <n v="9"/>
    <n v="44786"/>
    <s v="Neha"/>
    <n v="403074"/>
  </r>
  <r>
    <n v="1047"/>
    <s v="Headphones"/>
    <s v="Electronics"/>
    <x v="2"/>
    <d v="2023-01-15T00:00:00"/>
    <n v="26"/>
    <n v="26346"/>
    <s v="John"/>
    <n v="684996"/>
  </r>
  <r>
    <n v="1003"/>
    <s v="Keyboard"/>
    <s v="Electronics"/>
    <x v="3"/>
    <d v="2024-09-17T00:00:00"/>
    <n v="12"/>
    <n v="11865"/>
    <s v="Arjun"/>
    <n v="142380"/>
  </r>
  <r>
    <n v="1022"/>
    <s v="Laptop"/>
    <s v="Electronics"/>
    <x v="1"/>
    <d v="2024-10-02T00:00:00"/>
    <n v="11"/>
    <n v="27416"/>
    <s v="John"/>
    <n v="301576"/>
  </r>
  <r>
    <n v="1042"/>
    <s v="Speaker"/>
    <s v="Accessories"/>
    <x v="1"/>
    <d v="2024-04-25T00:00:00"/>
    <n v="5"/>
    <n v="10401"/>
    <s v="Carlos"/>
    <n v="52005"/>
  </r>
  <r>
    <n v="1004"/>
    <s v="Laptop"/>
    <s v="Electronics"/>
    <x v="2"/>
    <d v="2025-11-27T00:00:00"/>
    <n v="8"/>
    <n v="40362"/>
    <s v="Riya"/>
    <n v="322896"/>
  </r>
  <r>
    <n v="1015"/>
    <s v="Speaker"/>
    <s v="Electronics"/>
    <x v="3"/>
    <d v="2025-08-01T00:00:00"/>
    <n v="33"/>
    <n v="24645"/>
    <s v="Arjun"/>
    <n v="813285"/>
  </r>
  <r>
    <n v="1036"/>
    <s v="Smartwatch"/>
    <s v="Accessories"/>
    <x v="1"/>
    <d v="2025-12-22T00:00:00"/>
    <n v="41"/>
    <n v="1330"/>
    <s v="Fatima"/>
    <n v="54530"/>
  </r>
  <r>
    <n v="1039"/>
    <s v="Laptop"/>
    <s v="Electronics"/>
    <x v="1"/>
    <d v="2024-03-21T00:00:00"/>
    <n v="13"/>
    <n v="45150"/>
    <s v="Neha"/>
    <n v="586950"/>
  </r>
  <r>
    <n v="1012"/>
    <s v="Headphones"/>
    <s v="Accessories"/>
    <x v="1"/>
    <d v="2024-06-10T00:00:00"/>
    <n v="9"/>
    <n v="36866"/>
    <s v="Riya"/>
    <n v="331794"/>
  </r>
  <r>
    <n v="1037"/>
    <s v="Mouse"/>
    <s v="Electronics"/>
    <x v="2"/>
    <d v="2025-12-21T00:00:00"/>
    <n v="42"/>
    <n v="9152"/>
    <s v="Arjun"/>
    <n v="384384"/>
  </r>
  <r>
    <n v="1048"/>
    <s v="Tablet"/>
    <s v="Accessories"/>
    <x v="2"/>
    <d v="2025-06-11T00:00:00"/>
    <n v="36"/>
    <n v="7799"/>
    <s v="John"/>
    <n v="280764"/>
  </r>
  <r>
    <n v="1041"/>
    <s v="Smartwatch"/>
    <s v="Electronics"/>
    <x v="0"/>
    <d v="2023-12-28T00:00:00"/>
    <n v="9"/>
    <n v="14710"/>
    <s v="Arjun"/>
    <n v="132390"/>
  </r>
  <r>
    <n v="1007"/>
    <s v="Monitor"/>
    <s v="Accessories"/>
    <x v="0"/>
    <d v="2024-07-03T00:00:00"/>
    <n v="46"/>
    <n v="14240"/>
    <s v="Fatima"/>
    <n v="655040"/>
  </r>
  <r>
    <n v="1031"/>
    <s v="Keyboard"/>
    <s v="Electronics"/>
    <x v="1"/>
    <d v="2023-08-11T00:00:00"/>
    <n v="26"/>
    <n v="48775"/>
    <s v="Carlos"/>
    <n v="1268150"/>
  </r>
  <r>
    <n v="1005"/>
    <s v="Laptop"/>
    <s v="Electronics"/>
    <x v="3"/>
    <d v="2024-03-18T00:00:00"/>
    <n v="48"/>
    <n v="43622"/>
    <s v="Amit"/>
    <n v="2093856"/>
  </r>
  <r>
    <n v="1027"/>
    <s v="Headphones"/>
    <s v="Accessories"/>
    <x v="1"/>
    <d v="2025-10-27T00:00:00"/>
    <n v="43"/>
    <n v="8332"/>
    <s v="John"/>
    <n v="358276"/>
  </r>
  <r>
    <n v="1025"/>
    <s v="Keyboard"/>
    <s v="Electronics"/>
    <x v="3"/>
    <d v="2025-04-25T00:00:00"/>
    <n v="20"/>
    <n v="7287"/>
    <s v="John"/>
    <n v="145740"/>
  </r>
  <r>
    <n v="1017"/>
    <s v="Smartwatch"/>
    <s v="Accessories"/>
    <x v="2"/>
    <d v="2023-08-30T00:00:00"/>
    <n v="28"/>
    <n v="18759"/>
    <s v="Riya"/>
    <n v="525252"/>
  </r>
  <r>
    <n v="1028"/>
    <s v="Smartwatch"/>
    <s v="Accessories"/>
    <x v="0"/>
    <d v="2024-07-17T00:00:00"/>
    <n v="24"/>
    <n v="17994"/>
    <s v="Amit"/>
    <n v="431856"/>
  </r>
  <r>
    <n v="1027"/>
    <s v="Laptop"/>
    <s v="Electronics"/>
    <x v="2"/>
    <d v="2023-11-30T00:00:00"/>
    <n v="1"/>
    <n v="16476"/>
    <s v="Neha"/>
    <n v="16476"/>
  </r>
  <r>
    <n v="1026"/>
    <s v="Monitor"/>
    <s v="Accessories"/>
    <x v="3"/>
    <d v="2024-08-29T00:00:00"/>
    <n v="25"/>
    <n v="46499"/>
    <s v="Sakshi"/>
    <n v="1162475"/>
  </r>
  <r>
    <n v="1049"/>
    <s v="Keyboard"/>
    <s v="Electronics"/>
    <x v="3"/>
    <d v="2023-06-15T00:00:00"/>
    <n v="46"/>
    <n v="34605"/>
    <s v="John"/>
    <n v="1591830"/>
  </r>
  <r>
    <n v="1029"/>
    <s v="Speaker"/>
    <s v="Electronics"/>
    <x v="0"/>
    <d v="2025-05-01T00:00:00"/>
    <n v="11"/>
    <n v="11760"/>
    <s v="John"/>
    <n v="129360"/>
  </r>
  <r>
    <n v="1027"/>
    <s v="Mouse"/>
    <s v="Electronics"/>
    <x v="2"/>
    <d v="2024-05-29T00:00:00"/>
    <n v="5"/>
    <n v="9494"/>
    <s v="Amit"/>
    <n v="47470"/>
  </r>
  <r>
    <n v="1017"/>
    <s v="Tablet"/>
    <s v="Electronics"/>
    <x v="1"/>
    <d v="2025-05-09T00:00:00"/>
    <n v="14"/>
    <n v="32641"/>
    <s v="Sakshi"/>
    <n v="456974"/>
  </r>
  <r>
    <n v="1038"/>
    <s v="Headphones"/>
    <s v="Electronics"/>
    <x v="2"/>
    <d v="2025-09-13T00:00:00"/>
    <n v="18"/>
    <n v="11541"/>
    <s v="Carlos"/>
    <n v="207738"/>
  </r>
  <r>
    <n v="1016"/>
    <s v="Tablet"/>
    <s v="Electronics"/>
    <x v="3"/>
    <d v="2024-01-02T00:00:00"/>
    <n v="21"/>
    <n v="11169"/>
    <s v="Sakshi"/>
    <n v="234549"/>
  </r>
  <r>
    <n v="1009"/>
    <s v="Smartwatch"/>
    <s v="Electronics"/>
    <x v="2"/>
    <d v="2024-11-03T00:00:00"/>
    <n v="37"/>
    <n v="28543"/>
    <s v="Carlos"/>
    <n v="1056091"/>
  </r>
  <r>
    <n v="1032"/>
    <s v="Tablet"/>
    <s v="Electronics"/>
    <x v="0"/>
    <d v="2025-08-09T00:00:00"/>
    <n v="48"/>
    <n v="37283"/>
    <s v="Fatima"/>
    <n v="1789584"/>
  </r>
  <r>
    <n v="1001"/>
    <s v="Keyboard"/>
    <s v="Electronics"/>
    <x v="2"/>
    <d v="2024-01-13T00:00:00"/>
    <n v="46"/>
    <n v="34765"/>
    <s v="John"/>
    <n v="1599190"/>
  </r>
  <r>
    <n v="1009"/>
    <s v="Smartwatch"/>
    <s v="Accessories"/>
    <x v="2"/>
    <d v="2025-02-10T00:00:00"/>
    <n v="49"/>
    <n v="15810"/>
    <s v="Neha"/>
    <n v="774690"/>
  </r>
  <r>
    <n v="1007"/>
    <s v="Tablet"/>
    <s v="Accessories"/>
    <x v="3"/>
    <d v="2025-05-30T00:00:00"/>
    <n v="5"/>
    <n v="38522"/>
    <s v="Arjun"/>
    <n v="192610"/>
  </r>
  <r>
    <n v="1044"/>
    <s v="Mobile"/>
    <s v="Accessories"/>
    <x v="1"/>
    <d v="2023-04-22T00:00:00"/>
    <n v="14"/>
    <n v="45298"/>
    <s v="Fatima"/>
    <n v="634172"/>
  </r>
  <r>
    <n v="1037"/>
    <s v="Keyboard"/>
    <s v="Accessories"/>
    <x v="1"/>
    <d v="2023-06-08T00:00:00"/>
    <n v="35"/>
    <n v="21943"/>
    <s v="Carlos"/>
    <n v="768005"/>
  </r>
  <r>
    <n v="1040"/>
    <s v="Headphones"/>
    <s v="Electronics"/>
    <x v="0"/>
    <d v="2024-11-30T00:00:00"/>
    <n v="9"/>
    <n v="23215"/>
    <s v="Arjun"/>
    <n v="208935"/>
  </r>
  <r>
    <n v="1045"/>
    <s v="Keyboard"/>
    <s v="Accessories"/>
    <x v="0"/>
    <d v="2025-05-02T00:00:00"/>
    <n v="11"/>
    <n v="29296"/>
    <s v="Carlos"/>
    <n v="322256"/>
  </r>
  <r>
    <n v="1006"/>
    <s v="Mobile"/>
    <s v="Accessories"/>
    <x v="2"/>
    <d v="2025-03-10T00:00:00"/>
    <n v="4"/>
    <n v="42469"/>
    <s v="Riya"/>
    <n v="169876"/>
  </r>
  <r>
    <n v="1037"/>
    <s v="Tablet"/>
    <s v="Accessories"/>
    <x v="1"/>
    <d v="2023-03-12T00:00:00"/>
    <n v="8"/>
    <n v="1712"/>
    <s v="Carlos"/>
    <n v="13696"/>
  </r>
  <r>
    <n v="1039"/>
    <s v="Camera"/>
    <s v="Accessories"/>
    <x v="0"/>
    <d v="2024-08-12T00:00:00"/>
    <n v="37"/>
    <n v="38679"/>
    <s v="Carlos"/>
    <n v="1431123"/>
  </r>
  <r>
    <n v="1004"/>
    <s v="Keyboard"/>
    <s v="Accessories"/>
    <x v="1"/>
    <d v="2023-09-06T00:00:00"/>
    <n v="28"/>
    <n v="9549"/>
    <s v="Riya"/>
    <n v="267372"/>
  </r>
  <r>
    <n v="1049"/>
    <s v="Tablet"/>
    <s v="Accessories"/>
    <x v="3"/>
    <d v="2025-11-17T00:00:00"/>
    <n v="14"/>
    <n v="25488"/>
    <s v="Amit"/>
    <n v="356832"/>
  </r>
  <r>
    <n v="1037"/>
    <s v="Headphones"/>
    <s v="Accessories"/>
    <x v="0"/>
    <d v="2023-01-17T00:00:00"/>
    <n v="45"/>
    <n v="20233"/>
    <s v="Neha"/>
    <n v="910485"/>
  </r>
  <r>
    <n v="1010"/>
    <s v="Mouse"/>
    <s v="Accessories"/>
    <x v="1"/>
    <d v="2025-06-16T00:00:00"/>
    <n v="2"/>
    <n v="22281"/>
    <s v="Fatima"/>
    <n v="44562"/>
  </r>
  <r>
    <n v="1010"/>
    <s v="Headphones"/>
    <s v="Electronics"/>
    <x v="1"/>
    <d v="2023-10-21T00:00:00"/>
    <n v="29"/>
    <n v="43035"/>
    <s v="Arjun"/>
    <n v="1248015"/>
  </r>
  <r>
    <n v="1049"/>
    <s v="Monitor"/>
    <s v="Accessories"/>
    <x v="1"/>
    <d v="2025-05-30T00:00:00"/>
    <n v="20"/>
    <n v="6984"/>
    <s v="Riya"/>
    <n v="139680"/>
  </r>
  <r>
    <n v="1035"/>
    <s v="Mouse"/>
    <s v="Accessories"/>
    <x v="3"/>
    <d v="2023-07-11T00:00:00"/>
    <n v="38"/>
    <n v="6930"/>
    <s v="John"/>
    <n v="263340"/>
  </r>
  <r>
    <n v="1008"/>
    <s v="Tablet"/>
    <s v="Electronics"/>
    <x v="2"/>
    <d v="2025-06-07T00:00:00"/>
    <n v="45"/>
    <n v="29664"/>
    <s v="Carlos"/>
    <n v="1334880"/>
  </r>
  <r>
    <n v="1023"/>
    <s v="Mouse"/>
    <s v="Electronics"/>
    <x v="0"/>
    <d v="2023-03-31T00:00:00"/>
    <n v="6"/>
    <n v="17718"/>
    <s v="Sakshi"/>
    <n v="106308"/>
  </r>
  <r>
    <n v="1049"/>
    <s v="Laptop"/>
    <s v="Electronics"/>
    <x v="1"/>
    <d v="2025-04-17T00:00:00"/>
    <n v="12"/>
    <n v="48467"/>
    <s v="Carlos"/>
    <n v="581604"/>
  </r>
  <r>
    <n v="1007"/>
    <s v="Headphones"/>
    <s v="Accessories"/>
    <x v="1"/>
    <d v="2023-04-24T00:00:00"/>
    <n v="47"/>
    <n v="7735"/>
    <s v="Fatima"/>
    <n v="363545"/>
  </r>
  <r>
    <n v="1002"/>
    <s v="Monitor"/>
    <s v="Electronics"/>
    <x v="0"/>
    <d v="2024-02-03T00:00:00"/>
    <n v="16"/>
    <n v="27305"/>
    <s v="John"/>
    <n v="436880"/>
  </r>
  <r>
    <n v="1038"/>
    <s v="Tablet"/>
    <s v="Accessories"/>
    <x v="0"/>
    <d v="2023-03-31T00:00:00"/>
    <n v="46"/>
    <n v="41999"/>
    <s v="Sakshi"/>
    <n v="1931954"/>
  </r>
  <r>
    <n v="1020"/>
    <s v="Mouse"/>
    <s v="Accessories"/>
    <x v="3"/>
    <d v="2025-03-07T00:00:00"/>
    <n v="2"/>
    <n v="29884"/>
    <s v="Riya"/>
    <n v="59768"/>
  </r>
  <r>
    <n v="1031"/>
    <s v="Smartwatch"/>
    <s v="Accessories"/>
    <x v="2"/>
    <d v="2024-07-31T00:00:00"/>
    <n v="40"/>
    <n v="27577"/>
    <s v="Neha"/>
    <n v="1103080"/>
  </r>
  <r>
    <n v="1030"/>
    <s v="Tablet"/>
    <s v="Accessories"/>
    <x v="1"/>
    <d v="2024-06-24T00:00:00"/>
    <n v="5"/>
    <n v="6619"/>
    <s v="Fatima"/>
    <n v="33095"/>
  </r>
  <r>
    <n v="1048"/>
    <s v="Camera"/>
    <s v="Accessories"/>
    <x v="0"/>
    <d v="2025-10-29T00:00:00"/>
    <n v="47"/>
    <n v="37896"/>
    <s v="Fatima"/>
    <n v="1781112"/>
  </r>
  <r>
    <n v="1025"/>
    <s v="Smartwatch"/>
    <s v="Electronics"/>
    <x v="2"/>
    <d v="2025-03-19T00:00:00"/>
    <n v="20"/>
    <n v="33576"/>
    <s v="Fatima"/>
    <n v="671520"/>
  </r>
  <r>
    <n v="1010"/>
    <s v="Smartwatch"/>
    <s v="Accessories"/>
    <x v="2"/>
    <d v="2025-11-10T00:00:00"/>
    <n v="12"/>
    <n v="24539"/>
    <s v="Amit"/>
    <n v="294468"/>
  </r>
  <r>
    <n v="1017"/>
    <s v="Keyboard"/>
    <s v="Accessories"/>
    <x v="2"/>
    <d v="2024-03-14T00:00:00"/>
    <n v="48"/>
    <n v="31708"/>
    <s v="Carlos"/>
    <n v="1521984"/>
  </r>
  <r>
    <n v="1009"/>
    <s v="Mouse"/>
    <s v="Electronics"/>
    <x v="2"/>
    <d v="2024-08-30T00:00:00"/>
    <n v="16"/>
    <n v="41583"/>
    <s v="Neha"/>
    <n v="665328"/>
  </r>
  <r>
    <n v="1043"/>
    <s v="Mobile"/>
    <s v="Electronics"/>
    <x v="1"/>
    <d v="2025-01-17T00:00:00"/>
    <n v="30"/>
    <n v="48743"/>
    <s v="Amit"/>
    <n v="1462290"/>
  </r>
  <r>
    <n v="1032"/>
    <s v="Headphones"/>
    <s v="Electronics"/>
    <x v="2"/>
    <d v="2024-07-05T00:00:00"/>
    <n v="20"/>
    <n v="17187"/>
    <s v="Sakshi"/>
    <n v="343740"/>
  </r>
  <r>
    <n v="1024"/>
    <s v="Headphones"/>
    <s v="Electronics"/>
    <x v="1"/>
    <d v="2023-10-09T00:00:00"/>
    <n v="21"/>
    <n v="45179"/>
    <s v="Fatima"/>
    <n v="948759"/>
  </r>
  <r>
    <n v="1016"/>
    <s v="Tablet"/>
    <s v="Electronics"/>
    <x v="0"/>
    <d v="2024-11-18T00:00:00"/>
    <n v="6"/>
    <n v="37121"/>
    <s v="Riya"/>
    <n v="222726"/>
  </r>
  <r>
    <n v="1046"/>
    <s v="Smartwatch"/>
    <s v="Accessories"/>
    <x v="1"/>
    <d v="2023-05-06T00:00:00"/>
    <n v="9"/>
    <n v="1595"/>
    <s v="Sakshi"/>
    <n v="14355"/>
  </r>
  <r>
    <n v="1012"/>
    <s v="Monitor"/>
    <s v="Accessories"/>
    <x v="2"/>
    <d v="2024-12-17T00:00:00"/>
    <n v="3"/>
    <n v="14486"/>
    <s v="John"/>
    <n v="43458"/>
  </r>
  <r>
    <n v="1035"/>
    <s v="Laptop"/>
    <s v="Accessories"/>
    <x v="0"/>
    <d v="2024-06-28T00:00:00"/>
    <n v="20"/>
    <n v="17991"/>
    <s v="Carlos"/>
    <n v="359820"/>
  </r>
  <r>
    <n v="1043"/>
    <s v="Keyboard"/>
    <s v="Accessories"/>
    <x v="1"/>
    <d v="2025-05-19T00:00:00"/>
    <n v="48"/>
    <n v="46574"/>
    <s v="Amit"/>
    <n v="2235552"/>
  </r>
  <r>
    <n v="1047"/>
    <s v="Headphones"/>
    <s v="Electronics"/>
    <x v="1"/>
    <d v="2024-12-04T00:00:00"/>
    <n v="33"/>
    <n v="36085"/>
    <s v="Riya"/>
    <n v="1190805"/>
  </r>
  <r>
    <n v="1046"/>
    <s v="Mouse"/>
    <s v="Accessories"/>
    <x v="0"/>
    <d v="2024-12-31T00:00:00"/>
    <n v="37"/>
    <n v="14895"/>
    <s v="John"/>
    <n v="551115"/>
  </r>
  <r>
    <n v="1017"/>
    <s v="Headphones"/>
    <s v="Electronics"/>
    <x v="1"/>
    <d v="2023-08-20T00:00:00"/>
    <n v="17"/>
    <n v="19139"/>
    <s v="Carlos"/>
    <n v="325363"/>
  </r>
  <r>
    <n v="1029"/>
    <s v="Keyboard"/>
    <s v="Accessories"/>
    <x v="3"/>
    <d v="2025-07-04T00:00:00"/>
    <n v="48"/>
    <n v="10745"/>
    <s v="Sakshi"/>
    <n v="515760"/>
  </r>
  <r>
    <n v="1036"/>
    <s v="Laptop"/>
    <s v="Electronics"/>
    <x v="2"/>
    <d v="2024-10-31T00:00:00"/>
    <n v="41"/>
    <n v="8942"/>
    <s v="Amit"/>
    <n v="366622"/>
  </r>
  <r>
    <n v="1035"/>
    <s v="Mobile"/>
    <s v="Accessories"/>
    <x v="0"/>
    <d v="2025-03-01T00:00:00"/>
    <n v="49"/>
    <n v="47167"/>
    <s v="Neha"/>
    <n v="2311183"/>
  </r>
  <r>
    <n v="1004"/>
    <s v="Tablet"/>
    <s v="Electronics"/>
    <x v="2"/>
    <d v="2025-12-09T00:00:00"/>
    <n v="15"/>
    <n v="44161"/>
    <s v="Riya"/>
    <n v="662415"/>
  </r>
  <r>
    <n v="1007"/>
    <s v="Camera"/>
    <s v="Accessories"/>
    <x v="3"/>
    <d v="2024-05-24T00:00:00"/>
    <n v="19"/>
    <n v="42466"/>
    <s v="John"/>
    <n v="806854"/>
  </r>
  <r>
    <n v="1019"/>
    <s v="Camera"/>
    <s v="Electronics"/>
    <x v="0"/>
    <d v="2024-02-07T00:00:00"/>
    <n v="13"/>
    <n v="36735"/>
    <s v="Sakshi"/>
    <n v="477555"/>
  </r>
  <r>
    <n v="1047"/>
    <s v="Mobile"/>
    <s v="Accessories"/>
    <x v="2"/>
    <d v="2024-02-24T00:00:00"/>
    <n v="23"/>
    <n v="23093"/>
    <s v="Neha"/>
    <n v="531139"/>
  </r>
  <r>
    <n v="1028"/>
    <s v="Speaker"/>
    <s v="Electronics"/>
    <x v="1"/>
    <d v="2025-07-11T00:00:00"/>
    <n v="44"/>
    <n v="11745"/>
    <s v="Amit"/>
    <n v="516780"/>
  </r>
  <r>
    <n v="1041"/>
    <s v="Camera"/>
    <s v="Electronics"/>
    <x v="3"/>
    <d v="2025-01-15T00:00:00"/>
    <n v="24"/>
    <n v="25541"/>
    <s v="Arjun"/>
    <n v="612984"/>
  </r>
  <r>
    <n v="1022"/>
    <s v="Smartwatch"/>
    <s v="Electronics"/>
    <x v="0"/>
    <d v="2023-12-14T00:00:00"/>
    <n v="24"/>
    <n v="17169"/>
    <s v="John"/>
    <n v="412056"/>
  </r>
  <r>
    <n v="1021"/>
    <s v="Monitor"/>
    <s v="Accessories"/>
    <x v="3"/>
    <d v="2025-12-31T00:00:00"/>
    <n v="27"/>
    <n v="4226"/>
    <s v="Neha"/>
    <n v="114102"/>
  </r>
  <r>
    <n v="1005"/>
    <s v="Mobile"/>
    <s v="Electronics"/>
    <x v="1"/>
    <d v="2023-04-16T00:00:00"/>
    <n v="23"/>
    <n v="27480"/>
    <s v="Arjun"/>
    <n v="632040"/>
  </r>
  <r>
    <n v="1045"/>
    <s v="Tablet"/>
    <s v="Accessories"/>
    <x v="1"/>
    <d v="2024-05-10T00:00:00"/>
    <n v="12"/>
    <n v="11901"/>
    <s v="Fatima"/>
    <n v="142812"/>
  </r>
  <r>
    <n v="1049"/>
    <s v="Keyboard"/>
    <s v="Electronics"/>
    <x v="0"/>
    <d v="2024-10-22T00:00:00"/>
    <n v="11"/>
    <n v="48835"/>
    <s v="Fatima"/>
    <n v="537185"/>
  </r>
  <r>
    <n v="1032"/>
    <s v="Smartwatch"/>
    <s v="Electronics"/>
    <x v="0"/>
    <d v="2024-10-14T00:00:00"/>
    <n v="8"/>
    <n v="2030"/>
    <s v="Carlos"/>
    <n v="16240"/>
  </r>
  <r>
    <n v="1001"/>
    <s v="Mobile"/>
    <s v="Accessories"/>
    <x v="3"/>
    <d v="2025-03-05T00:00:00"/>
    <n v="24"/>
    <n v="36949"/>
    <s v="Amit"/>
    <n v="886776"/>
  </r>
  <r>
    <n v="1020"/>
    <s v="Speaker"/>
    <s v="Accessories"/>
    <x v="0"/>
    <d v="2023-10-23T00:00:00"/>
    <n v="41"/>
    <n v="49164"/>
    <s v="Fatima"/>
    <n v="2015724"/>
  </r>
  <r>
    <n v="1028"/>
    <s v="Camera"/>
    <s v="Electronics"/>
    <x v="2"/>
    <d v="2024-12-20T00:00:00"/>
    <n v="10"/>
    <n v="26301"/>
    <s v="Amit"/>
    <n v="263010"/>
  </r>
  <r>
    <n v="1044"/>
    <s v="Laptop"/>
    <s v="Accessories"/>
    <x v="3"/>
    <d v="2023-10-23T00:00:00"/>
    <n v="24"/>
    <n v="48292"/>
    <s v="Amit"/>
    <n v="1159008"/>
  </r>
  <r>
    <n v="1048"/>
    <s v="Tablet"/>
    <s v="Accessories"/>
    <x v="2"/>
    <d v="2023-05-07T00:00:00"/>
    <n v="11"/>
    <n v="20351"/>
    <s v="John"/>
    <n v="223861"/>
  </r>
  <r>
    <n v="1037"/>
    <s v="Camera"/>
    <s v="Electronics"/>
    <x v="3"/>
    <d v="2023-09-22T00:00:00"/>
    <n v="33"/>
    <n v="5321"/>
    <s v="Amit"/>
    <n v="175593"/>
  </r>
  <r>
    <n v="1012"/>
    <s v="Camera"/>
    <s v="Electronics"/>
    <x v="0"/>
    <d v="2024-12-21T00:00:00"/>
    <n v="29"/>
    <n v="4700"/>
    <s v="Riya"/>
    <n v="136300"/>
  </r>
  <r>
    <n v="1018"/>
    <s v="Camera"/>
    <s v="Accessories"/>
    <x v="1"/>
    <d v="2025-04-03T00:00:00"/>
    <n v="13"/>
    <n v="31118"/>
    <s v="Amit"/>
    <n v="404534"/>
  </r>
  <r>
    <n v="1045"/>
    <s v="Tablet"/>
    <s v="Accessories"/>
    <x v="1"/>
    <d v="2023-06-30T00:00:00"/>
    <n v="28"/>
    <n v="11421"/>
    <s v="Riya"/>
    <n v="319788"/>
  </r>
  <r>
    <n v="1005"/>
    <s v="Tablet"/>
    <s v="Electronics"/>
    <x v="3"/>
    <d v="2025-02-10T00:00:00"/>
    <n v="5"/>
    <n v="15676"/>
    <s v="Arjun"/>
    <n v="78380"/>
  </r>
  <r>
    <n v="1031"/>
    <s v="Smartwatch"/>
    <s v="Accessories"/>
    <x v="2"/>
    <d v="2025-04-12T00:00:00"/>
    <n v="17"/>
    <n v="22517"/>
    <s v="Riya"/>
    <n v="382789"/>
  </r>
  <r>
    <n v="1002"/>
    <s v="Camera"/>
    <s v="Accessories"/>
    <x v="1"/>
    <d v="2023-07-19T00:00:00"/>
    <n v="36"/>
    <n v="6309"/>
    <s v="Sakshi"/>
    <n v="227124"/>
  </r>
  <r>
    <n v="1045"/>
    <s v="Smartwatch"/>
    <s v="Electronics"/>
    <x v="3"/>
    <d v="2023-01-30T00:00:00"/>
    <n v="20"/>
    <n v="46247"/>
    <s v="Amit"/>
    <n v="924940"/>
  </r>
  <r>
    <n v="1009"/>
    <s v="Keyboard"/>
    <s v="Accessories"/>
    <x v="3"/>
    <d v="2023-01-25T00:00:00"/>
    <n v="4"/>
    <n v="5841"/>
    <s v="Sakshi"/>
    <n v="23364"/>
  </r>
  <r>
    <n v="1002"/>
    <s v="Tablet"/>
    <s v="Accessories"/>
    <x v="1"/>
    <d v="2023-02-08T00:00:00"/>
    <n v="28"/>
    <n v="6774"/>
    <s v="Riya"/>
    <n v="189672"/>
  </r>
  <r>
    <n v="1018"/>
    <s v="Keyboard"/>
    <s v="Electronics"/>
    <x v="1"/>
    <d v="2023-11-27T00:00:00"/>
    <n v="16"/>
    <n v="21161"/>
    <s v="Fatima"/>
    <n v="338576"/>
  </r>
  <r>
    <n v="1035"/>
    <s v="Mouse"/>
    <s v="Accessories"/>
    <x v="2"/>
    <d v="2023-02-02T00:00:00"/>
    <n v="39"/>
    <n v="19385"/>
    <s v="Sakshi"/>
    <n v="756015"/>
  </r>
  <r>
    <n v="1044"/>
    <s v="Mobile"/>
    <s v="Accessories"/>
    <x v="0"/>
    <d v="2024-05-23T00:00:00"/>
    <n v="30"/>
    <n v="44126"/>
    <s v="Fatima"/>
    <n v="1323780"/>
  </r>
  <r>
    <n v="1025"/>
    <s v="Camera"/>
    <s v="Accessories"/>
    <x v="2"/>
    <d v="2024-03-10T00:00:00"/>
    <n v="30"/>
    <n v="22654"/>
    <s v="Fatima"/>
    <n v="679620"/>
  </r>
  <r>
    <n v="1016"/>
    <s v="Smartwatch"/>
    <s v="Electronics"/>
    <x v="3"/>
    <d v="2023-06-29T00:00:00"/>
    <n v="20"/>
    <n v="36840"/>
    <s v="Sakshi"/>
    <n v="736800"/>
  </r>
  <r>
    <n v="1041"/>
    <s v="Mobile"/>
    <s v="Accessories"/>
    <x v="3"/>
    <d v="2024-03-11T00:00:00"/>
    <n v="32"/>
    <n v="22021"/>
    <s v="John"/>
    <n v="704672"/>
  </r>
  <r>
    <n v="1044"/>
    <s v="Smartwatch"/>
    <s v="Electronics"/>
    <x v="0"/>
    <d v="2024-12-14T00:00:00"/>
    <n v="46"/>
    <n v="46653"/>
    <s v="Carlos"/>
    <n v="2146038"/>
  </r>
  <r>
    <n v="1046"/>
    <s v="Speaker"/>
    <s v="Electronics"/>
    <x v="2"/>
    <d v="2025-08-09T00:00:00"/>
    <n v="26"/>
    <n v="46288"/>
    <s v="Neha"/>
    <n v="1203488"/>
  </r>
  <r>
    <n v="1020"/>
    <s v="Camera"/>
    <s v="Accessories"/>
    <x v="2"/>
    <d v="2025-10-21T00:00:00"/>
    <n v="3"/>
    <n v="36487"/>
    <s v="John"/>
    <n v="109461"/>
  </r>
  <r>
    <n v="1004"/>
    <s v="Mouse"/>
    <s v="Electronics"/>
    <x v="2"/>
    <d v="2023-08-14T00:00:00"/>
    <n v="34"/>
    <n v="4602"/>
    <s v="Riya"/>
    <n v="156468"/>
  </r>
  <r>
    <n v="1032"/>
    <s v="Headphones"/>
    <s v="Electronics"/>
    <x v="1"/>
    <d v="2025-11-20T00:00:00"/>
    <n v="10"/>
    <n v="21038"/>
    <s v="Riya"/>
    <n v="210380"/>
  </r>
  <r>
    <n v="1020"/>
    <s v="Laptop"/>
    <s v="Accessories"/>
    <x v="3"/>
    <d v="2025-11-13T00:00:00"/>
    <n v="37"/>
    <n v="34149"/>
    <s v="Neha"/>
    <n v="1263513"/>
  </r>
  <r>
    <n v="1039"/>
    <s v="Headphones"/>
    <s v="Electronics"/>
    <x v="2"/>
    <d v="2024-06-14T00:00:00"/>
    <n v="17"/>
    <n v="11020"/>
    <s v="Amit"/>
    <n v="187340"/>
  </r>
  <r>
    <n v="1015"/>
    <s v="Keyboard"/>
    <s v="Accessories"/>
    <x v="1"/>
    <d v="2025-12-20T00:00:00"/>
    <n v="44"/>
    <n v="47614"/>
    <s v="Arjun"/>
    <n v="2095016"/>
  </r>
  <r>
    <n v="1018"/>
    <s v="Mouse"/>
    <s v="Electronics"/>
    <x v="1"/>
    <d v="2023-04-22T00:00:00"/>
    <n v="30"/>
    <n v="22147"/>
    <s v="Riya"/>
    <n v="664410"/>
  </r>
  <r>
    <n v="1007"/>
    <s v="Tablet"/>
    <s v="Accessories"/>
    <x v="2"/>
    <d v="2024-03-19T00:00:00"/>
    <n v="28"/>
    <n v="17459"/>
    <s v="Fatima"/>
    <n v="488852"/>
  </r>
  <r>
    <n v="1003"/>
    <s v="Headphones"/>
    <s v="Electronics"/>
    <x v="3"/>
    <d v="2024-09-27T00:00:00"/>
    <n v="23"/>
    <n v="49434"/>
    <s v="Sakshi"/>
    <n v="1136982"/>
  </r>
  <r>
    <n v="1008"/>
    <s v="Camera"/>
    <s v="Electronics"/>
    <x v="0"/>
    <d v="2025-07-09T00:00:00"/>
    <n v="13"/>
    <n v="45866"/>
    <s v="Carlos"/>
    <n v="596258"/>
  </r>
  <r>
    <n v="1029"/>
    <s v="Keyboard"/>
    <s v="Accessories"/>
    <x v="0"/>
    <d v="2023-06-03T00:00:00"/>
    <n v="25"/>
    <n v="25332"/>
    <s v="Riya"/>
    <n v="633300"/>
  </r>
  <r>
    <n v="1008"/>
    <s v="Laptop"/>
    <s v="Electronics"/>
    <x v="2"/>
    <d v="2023-05-07T00:00:00"/>
    <n v="43"/>
    <n v="10782"/>
    <s v="Amit"/>
    <n v="463626"/>
  </r>
  <r>
    <n v="1001"/>
    <s v="Smartwatch"/>
    <s v="Electronics"/>
    <x v="3"/>
    <d v="2024-06-02T00:00:00"/>
    <n v="18"/>
    <n v="40957"/>
    <s v="Sakshi"/>
    <n v="737226"/>
  </r>
  <r>
    <n v="1043"/>
    <s v="Mobile"/>
    <s v="Accessories"/>
    <x v="0"/>
    <d v="2023-11-08T00:00:00"/>
    <n v="28"/>
    <n v="48254"/>
    <s v="Sakshi"/>
    <n v="1351112"/>
  </r>
  <r>
    <n v="1021"/>
    <s v="Keyboard"/>
    <s v="Accessories"/>
    <x v="3"/>
    <d v="2025-10-04T00:00:00"/>
    <n v="35"/>
    <n v="11003"/>
    <s v="Sakshi"/>
    <n v="385105"/>
  </r>
  <r>
    <n v="1039"/>
    <s v="Headphones"/>
    <s v="Electronics"/>
    <x v="0"/>
    <d v="2025-12-31T00:00:00"/>
    <n v="2"/>
    <n v="37134"/>
    <s v="Riya"/>
    <n v="74268"/>
  </r>
  <r>
    <n v="1045"/>
    <s v="Mouse"/>
    <s v="Electronics"/>
    <x v="1"/>
    <d v="2023-04-04T00:00:00"/>
    <n v="5"/>
    <n v="13535"/>
    <s v="Fatima"/>
    <n v="67675"/>
  </r>
  <r>
    <n v="1002"/>
    <s v="Smartwatch"/>
    <s v="Accessories"/>
    <x v="3"/>
    <d v="2023-09-06T00:00:00"/>
    <n v="48"/>
    <n v="37747"/>
    <s v="Neha"/>
    <n v="1811856"/>
  </r>
  <r>
    <n v="1034"/>
    <s v="Smartwatch"/>
    <s v="Electronics"/>
    <x v="0"/>
    <d v="2024-02-05T00:00:00"/>
    <n v="18"/>
    <n v="36998"/>
    <s v="Riya"/>
    <n v="665964"/>
  </r>
  <r>
    <n v="1021"/>
    <s v="Keyboard"/>
    <s v="Accessories"/>
    <x v="2"/>
    <d v="2024-08-06T00:00:00"/>
    <n v="48"/>
    <n v="7059"/>
    <s v="Fatima"/>
    <n v="338832"/>
  </r>
  <r>
    <n v="1048"/>
    <s v="Laptop"/>
    <s v="Accessories"/>
    <x v="3"/>
    <d v="2023-06-24T00:00:00"/>
    <n v="44"/>
    <n v="12711"/>
    <s v="Carlos"/>
    <n v="559284"/>
  </r>
  <r>
    <n v="1033"/>
    <s v="Speaker"/>
    <s v="Accessories"/>
    <x v="3"/>
    <d v="2023-07-11T00:00:00"/>
    <n v="37"/>
    <n v="39358"/>
    <s v="Amit"/>
    <n v="1456246"/>
  </r>
  <r>
    <n v="1039"/>
    <s v="Tablet"/>
    <s v="Accessories"/>
    <x v="3"/>
    <d v="2024-02-18T00:00:00"/>
    <n v="44"/>
    <n v="1136"/>
    <s v="John"/>
    <n v="49984"/>
  </r>
  <r>
    <n v="1040"/>
    <s v="Smartwatch"/>
    <s v="Electronics"/>
    <x v="0"/>
    <d v="2023-04-29T00:00:00"/>
    <n v="49"/>
    <n v="33646"/>
    <s v="Neha"/>
    <n v="1648654"/>
  </r>
  <r>
    <n v="1007"/>
    <s v="Headphones"/>
    <s v="Accessories"/>
    <x v="1"/>
    <d v="2023-12-07T00:00:00"/>
    <n v="34"/>
    <n v="17239"/>
    <s v="Carlos"/>
    <n v="586126"/>
  </r>
  <r>
    <n v="1015"/>
    <s v="Keyboard"/>
    <s v="Accessories"/>
    <x v="1"/>
    <d v="2025-12-09T00:00:00"/>
    <n v="11"/>
    <n v="10758"/>
    <s v="Fatima"/>
    <n v="118338"/>
  </r>
  <r>
    <n v="1009"/>
    <s v="Camera"/>
    <s v="Accessories"/>
    <x v="0"/>
    <d v="2024-06-29T00:00:00"/>
    <n v="35"/>
    <n v="2627"/>
    <s v="Carlos"/>
    <n v="91945"/>
  </r>
  <r>
    <n v="1030"/>
    <s v="Monitor"/>
    <s v="Electronics"/>
    <x v="1"/>
    <d v="2025-02-04T00:00:00"/>
    <n v="25"/>
    <n v="45042"/>
    <s v="Arjun"/>
    <n v="1126050"/>
  </r>
  <r>
    <n v="1044"/>
    <s v="Tablet"/>
    <s v="Accessories"/>
    <x v="1"/>
    <d v="2025-12-23T00:00:00"/>
    <n v="29"/>
    <n v="13750"/>
    <s v="Amit"/>
    <n v="398750"/>
  </r>
  <r>
    <n v="1017"/>
    <s v="Speaker"/>
    <s v="Electronics"/>
    <x v="2"/>
    <d v="2023-09-26T00:00:00"/>
    <n v="46"/>
    <n v="10856"/>
    <s v="Fatima"/>
    <n v="499376"/>
  </r>
  <r>
    <n v="1038"/>
    <s v="Monitor"/>
    <s v="Accessories"/>
    <x v="1"/>
    <d v="2025-05-24T00:00:00"/>
    <n v="1"/>
    <n v="2891"/>
    <s v="Arjun"/>
    <n v="2891"/>
  </r>
  <r>
    <n v="1041"/>
    <s v="Keyboard"/>
    <s v="Electronics"/>
    <x v="0"/>
    <d v="2024-06-22T00:00:00"/>
    <n v="37"/>
    <n v="22610"/>
    <s v="Sakshi"/>
    <n v="836570"/>
  </r>
  <r>
    <n v="1039"/>
    <s v="Mobile"/>
    <s v="Electronics"/>
    <x v="0"/>
    <d v="2024-03-31T00:00:00"/>
    <n v="12"/>
    <n v="16795"/>
    <s v="Amit"/>
    <n v="201540"/>
  </r>
  <r>
    <n v="1048"/>
    <s v="Camera"/>
    <s v="Accessories"/>
    <x v="0"/>
    <d v="2025-07-25T00:00:00"/>
    <n v="45"/>
    <n v="43245"/>
    <s v="John"/>
    <n v="1946025"/>
  </r>
  <r>
    <n v="1021"/>
    <s v="Keyboard"/>
    <s v="Accessories"/>
    <x v="2"/>
    <d v="2025-07-13T00:00:00"/>
    <n v="38"/>
    <n v="12328"/>
    <s v="Fatima"/>
    <n v="468464"/>
  </r>
  <r>
    <n v="1003"/>
    <s v="Speaker"/>
    <s v="Electronics"/>
    <x v="3"/>
    <d v="2023-09-11T00:00:00"/>
    <n v="5"/>
    <n v="34276"/>
    <s v="Carlos"/>
    <n v="171380"/>
  </r>
  <r>
    <n v="1037"/>
    <s v="Tablet"/>
    <s v="Accessories"/>
    <x v="1"/>
    <d v="2023-06-30T00:00:00"/>
    <n v="47"/>
    <n v="26122"/>
    <s v="Fatima"/>
    <n v="1227734"/>
  </r>
  <r>
    <n v="1017"/>
    <s v="Mouse"/>
    <s v="Electronics"/>
    <x v="0"/>
    <d v="2024-07-11T00:00:00"/>
    <n v="24"/>
    <n v="39158"/>
    <s v="Fatima"/>
    <n v="939792"/>
  </r>
  <r>
    <n v="1017"/>
    <s v="Camera"/>
    <s v="Accessories"/>
    <x v="2"/>
    <d v="2025-08-22T00:00:00"/>
    <n v="21"/>
    <n v="4686"/>
    <s v="Riya"/>
    <n v="98406"/>
  </r>
  <r>
    <n v="1011"/>
    <s v="Smartwatch"/>
    <s v="Electronics"/>
    <x v="1"/>
    <d v="2025-03-15T00:00:00"/>
    <n v="1"/>
    <n v="10986"/>
    <s v="Sakshi"/>
    <n v="10986"/>
  </r>
  <r>
    <n v="1010"/>
    <s v="Smartwatch"/>
    <s v="Electronics"/>
    <x v="3"/>
    <d v="2025-08-13T00:00:00"/>
    <n v="24"/>
    <n v="5456"/>
    <s v="Neha"/>
    <n v="130944"/>
  </r>
  <r>
    <n v="1001"/>
    <s v="Mobile"/>
    <s v="Accessories"/>
    <x v="2"/>
    <d v="2024-12-14T00:00:00"/>
    <n v="20"/>
    <n v="32080"/>
    <s v="Arjun"/>
    <n v="641600"/>
  </r>
  <r>
    <n v="1010"/>
    <s v="Laptop"/>
    <s v="Accessories"/>
    <x v="0"/>
    <d v="2025-07-05T00:00:00"/>
    <n v="16"/>
    <n v="20795"/>
    <s v="Sakshi"/>
    <n v="332720"/>
  </r>
  <r>
    <n v="1025"/>
    <s v="Laptop"/>
    <s v="Accessories"/>
    <x v="0"/>
    <d v="2023-01-09T00:00:00"/>
    <n v="12"/>
    <n v="28029"/>
    <s v="Sakshi"/>
    <n v="336348"/>
  </r>
  <r>
    <n v="1016"/>
    <s v="Headphones"/>
    <s v="Accessories"/>
    <x v="3"/>
    <d v="2025-04-24T00:00:00"/>
    <n v="26"/>
    <n v="23530"/>
    <s v="Amit"/>
    <n v="611780"/>
  </r>
  <r>
    <n v="1038"/>
    <s v="Camera"/>
    <s v="Accessories"/>
    <x v="1"/>
    <d v="2025-01-27T00:00:00"/>
    <n v="6"/>
    <n v="6284"/>
    <s v="Riya"/>
    <n v="37704"/>
  </r>
  <r>
    <n v="1032"/>
    <s v="Smartwatch"/>
    <s v="Accessories"/>
    <x v="2"/>
    <d v="2023-10-16T00:00:00"/>
    <n v="19"/>
    <n v="26036"/>
    <s v="Neha"/>
    <n v="494684"/>
  </r>
  <r>
    <n v="1025"/>
    <s v="Camera"/>
    <s v="Electronics"/>
    <x v="2"/>
    <d v="2025-06-08T00:00:00"/>
    <n v="4"/>
    <n v="26362"/>
    <s v="Amit"/>
    <n v="105448"/>
  </r>
  <r>
    <n v="1013"/>
    <s v="Mobile"/>
    <s v="Accessories"/>
    <x v="1"/>
    <d v="2025-02-27T00:00:00"/>
    <n v="5"/>
    <n v="4419"/>
    <s v="Riya"/>
    <n v="22095"/>
  </r>
  <r>
    <n v="1043"/>
    <s v="Tablet"/>
    <s v="Electronics"/>
    <x v="0"/>
    <d v="2023-07-27T00:00:00"/>
    <n v="43"/>
    <n v="23077"/>
    <s v="Amit"/>
    <n v="992311"/>
  </r>
  <r>
    <n v="1016"/>
    <s v="Speaker"/>
    <s v="Electronics"/>
    <x v="1"/>
    <d v="2023-03-02T00:00:00"/>
    <n v="26"/>
    <n v="8397"/>
    <s v="Riya"/>
    <n v="218322"/>
  </r>
  <r>
    <n v="1041"/>
    <s v="Mobile"/>
    <s v="Electronics"/>
    <x v="1"/>
    <d v="2023-04-12T00:00:00"/>
    <n v="40"/>
    <n v="37657"/>
    <s v="John"/>
    <n v="1506280"/>
  </r>
  <r>
    <n v="1020"/>
    <s v="Keyboard"/>
    <s v="Accessories"/>
    <x v="1"/>
    <d v="2024-03-23T00:00:00"/>
    <n v="31"/>
    <n v="22885"/>
    <s v="Riya"/>
    <n v="709435"/>
  </r>
  <r>
    <n v="1028"/>
    <s v="Camera"/>
    <s v="Electronics"/>
    <x v="0"/>
    <d v="2024-03-06T00:00:00"/>
    <n v="18"/>
    <n v="24108"/>
    <s v="John"/>
    <n v="433944"/>
  </r>
  <r>
    <n v="1008"/>
    <s v="Smartwatch"/>
    <s v="Accessories"/>
    <x v="0"/>
    <d v="2025-02-13T00:00:00"/>
    <n v="9"/>
    <n v="17033"/>
    <s v="Amit"/>
    <n v="153297"/>
  </r>
  <r>
    <n v="1031"/>
    <s v="Camera"/>
    <s v="Accessories"/>
    <x v="2"/>
    <d v="2024-02-10T00:00:00"/>
    <n v="34"/>
    <n v="19739"/>
    <s v="Riya"/>
    <n v="671126"/>
  </r>
  <r>
    <n v="1028"/>
    <s v="Keyboard"/>
    <s v="Accessories"/>
    <x v="1"/>
    <d v="2024-08-19T00:00:00"/>
    <n v="31"/>
    <n v="27985"/>
    <s v="Neha"/>
    <n v="867535"/>
  </r>
  <r>
    <n v="1029"/>
    <s v="Smartwatch"/>
    <s v="Accessories"/>
    <x v="1"/>
    <d v="2025-05-22T00:00:00"/>
    <n v="39"/>
    <n v="34831"/>
    <s v="John"/>
    <n v="1358409"/>
  </r>
  <r>
    <n v="1042"/>
    <s v="Mouse"/>
    <s v="Electronics"/>
    <x v="0"/>
    <d v="2024-02-21T00:00:00"/>
    <n v="17"/>
    <n v="42753"/>
    <s v="Arjun"/>
    <n v="726801"/>
  </r>
  <r>
    <n v="1034"/>
    <s v="Laptop"/>
    <s v="Accessories"/>
    <x v="0"/>
    <d v="2024-07-13T00:00:00"/>
    <n v="49"/>
    <n v="12324"/>
    <s v="Fatima"/>
    <n v="603876"/>
  </r>
  <r>
    <n v="1037"/>
    <s v="Mouse"/>
    <s v="Accessories"/>
    <x v="1"/>
    <d v="2023-12-25T00:00:00"/>
    <n v="47"/>
    <n v="41011"/>
    <s v="Fatima"/>
    <n v="1927517"/>
  </r>
  <r>
    <n v="1042"/>
    <s v="Mobile"/>
    <s v="Accessories"/>
    <x v="3"/>
    <d v="2025-03-19T00:00:00"/>
    <n v="49"/>
    <n v="7946"/>
    <s v="Fatima"/>
    <n v="389354"/>
  </r>
  <r>
    <n v="1020"/>
    <s v="Keyboard"/>
    <s v="Electronics"/>
    <x v="0"/>
    <d v="2024-10-10T00:00:00"/>
    <n v="36"/>
    <n v="49209"/>
    <s v="John"/>
    <n v="1771524"/>
  </r>
  <r>
    <n v="1005"/>
    <s v="Mobile"/>
    <s v="Electronics"/>
    <x v="3"/>
    <d v="2024-11-18T00:00:00"/>
    <n v="37"/>
    <n v="13238"/>
    <s v="John"/>
    <n v="489806"/>
  </r>
  <r>
    <n v="1027"/>
    <s v="Tablet"/>
    <s v="Electronics"/>
    <x v="1"/>
    <d v="2024-04-30T00:00:00"/>
    <n v="9"/>
    <n v="4532"/>
    <s v="Carlos"/>
    <n v="40788"/>
  </r>
  <r>
    <n v="1037"/>
    <s v="Mobile"/>
    <s v="Accessories"/>
    <x v="1"/>
    <d v="2023-08-03T00:00:00"/>
    <n v="36"/>
    <n v="33232"/>
    <s v="Amit"/>
    <n v="1196352"/>
  </r>
  <r>
    <n v="1037"/>
    <s v="Keyboard"/>
    <s v="Electronics"/>
    <x v="3"/>
    <d v="2023-07-01T00:00:00"/>
    <n v="43"/>
    <n v="47748"/>
    <s v="Sakshi"/>
    <n v="2053164"/>
  </r>
  <r>
    <n v="1031"/>
    <s v="Tablet"/>
    <s v="Accessories"/>
    <x v="3"/>
    <d v="2023-07-12T00:00:00"/>
    <n v="7"/>
    <n v="6822"/>
    <s v="John"/>
    <n v="47754"/>
  </r>
  <r>
    <n v="1033"/>
    <s v="Smartwatch"/>
    <s v="Accessories"/>
    <x v="1"/>
    <d v="2023-12-31T00:00:00"/>
    <n v="2"/>
    <n v="9505"/>
    <s v="Riya"/>
    <n v="19010"/>
  </r>
  <r>
    <n v="1048"/>
    <s v="Speaker"/>
    <s v="Accessories"/>
    <x v="3"/>
    <d v="2024-10-27T00:00:00"/>
    <n v="2"/>
    <n v="34610"/>
    <s v="Carlos"/>
    <n v="69220"/>
  </r>
  <r>
    <n v="1032"/>
    <s v="Smartwatch"/>
    <s v="Electronics"/>
    <x v="1"/>
    <d v="2023-02-02T00:00:00"/>
    <n v="21"/>
    <n v="17685"/>
    <s v="Carlos"/>
    <n v="371385"/>
  </r>
  <r>
    <n v="1017"/>
    <s v="Laptop"/>
    <s v="Accessories"/>
    <x v="3"/>
    <d v="2025-06-23T00:00:00"/>
    <n v="41"/>
    <n v="43065"/>
    <s v="Amit"/>
    <n v="1765665"/>
  </r>
  <r>
    <n v="1043"/>
    <s v="Tablet"/>
    <s v="Accessories"/>
    <x v="1"/>
    <d v="2024-08-04T00:00:00"/>
    <n v="12"/>
    <n v="21613"/>
    <s v="Riya"/>
    <n v="259356"/>
  </r>
  <r>
    <n v="1023"/>
    <s v="Monitor"/>
    <s v="Electronics"/>
    <x v="0"/>
    <d v="2025-07-30T00:00:00"/>
    <n v="12"/>
    <n v="17798"/>
    <s v="John"/>
    <n v="213576"/>
  </r>
  <r>
    <n v="1048"/>
    <s v="Camera"/>
    <s v="Accessories"/>
    <x v="1"/>
    <d v="2023-01-07T00:00:00"/>
    <n v="42"/>
    <n v="6966"/>
    <s v="Amit"/>
    <n v="292572"/>
  </r>
  <r>
    <n v="1045"/>
    <s v="Keyboard"/>
    <s v="Electronics"/>
    <x v="1"/>
    <d v="2025-10-27T00:00:00"/>
    <n v="4"/>
    <n v="8687"/>
    <s v="Sakshi"/>
    <n v="34748"/>
  </r>
  <r>
    <n v="1041"/>
    <s v="Headphones"/>
    <s v="Electronics"/>
    <x v="0"/>
    <d v="2025-01-10T00:00:00"/>
    <n v="36"/>
    <n v="28068"/>
    <s v="Sakshi"/>
    <n v="1010448"/>
  </r>
  <r>
    <n v="1037"/>
    <s v="Speaker"/>
    <s v="Accessories"/>
    <x v="1"/>
    <d v="2023-04-24T00:00:00"/>
    <n v="39"/>
    <n v="14886"/>
    <s v="Neha"/>
    <n v="580554"/>
  </r>
  <r>
    <n v="1017"/>
    <s v="Mouse"/>
    <s v="Electronics"/>
    <x v="0"/>
    <d v="2024-12-21T00:00:00"/>
    <n v="5"/>
    <n v="27626"/>
    <s v="Riya"/>
    <n v="138130"/>
  </r>
  <r>
    <n v="1048"/>
    <s v="Mobile"/>
    <s v="Accessories"/>
    <x v="0"/>
    <d v="2024-11-17T00:00:00"/>
    <n v="26"/>
    <n v="8924"/>
    <s v="Carlos"/>
    <n v="232024"/>
  </r>
  <r>
    <n v="1018"/>
    <s v="Laptop"/>
    <s v="Electronics"/>
    <x v="3"/>
    <d v="2024-06-16T00:00:00"/>
    <n v="32"/>
    <n v="21376"/>
    <s v="Amit"/>
    <n v="684032"/>
  </r>
  <r>
    <n v="1014"/>
    <s v="Tablet"/>
    <s v="Accessories"/>
    <x v="1"/>
    <d v="2024-01-02T00:00:00"/>
    <n v="49"/>
    <n v="19947"/>
    <s v="Neha"/>
    <n v="977403"/>
  </r>
  <r>
    <n v="1016"/>
    <s v="Camera"/>
    <s v="Electronics"/>
    <x v="0"/>
    <d v="2023-07-03T00:00:00"/>
    <n v="14"/>
    <n v="12342"/>
    <s v="Riya"/>
    <n v="172788"/>
  </r>
  <r>
    <n v="1024"/>
    <s v="Laptop"/>
    <s v="Electronics"/>
    <x v="2"/>
    <d v="2023-10-15T00:00:00"/>
    <n v="13"/>
    <n v="15448"/>
    <s v="Carlos"/>
    <n v="200824"/>
  </r>
  <r>
    <n v="1039"/>
    <s v="Keyboard"/>
    <s v="Electronics"/>
    <x v="1"/>
    <d v="2024-01-06T00:00:00"/>
    <n v="24"/>
    <n v="25508"/>
    <s v="Sakshi"/>
    <n v="612192"/>
  </r>
  <r>
    <n v="1003"/>
    <s v="Speaker"/>
    <s v="Accessories"/>
    <x v="1"/>
    <d v="2025-04-01T00:00:00"/>
    <n v="18"/>
    <n v="1492"/>
    <s v="Carlos"/>
    <n v="26856"/>
  </r>
  <r>
    <n v="1013"/>
    <s v="Speaker"/>
    <s v="Electronics"/>
    <x v="2"/>
    <d v="2023-02-04T00:00:00"/>
    <n v="13"/>
    <n v="29820"/>
    <s v="Fatima"/>
    <n v="387660"/>
  </r>
  <r>
    <n v="1039"/>
    <s v="Mouse"/>
    <s v="Electronics"/>
    <x v="0"/>
    <d v="2023-01-23T00:00:00"/>
    <n v="47"/>
    <n v="24771"/>
    <s v="Carlos"/>
    <n v="1164237"/>
  </r>
  <r>
    <n v="1021"/>
    <s v="Laptop"/>
    <s v="Electronics"/>
    <x v="1"/>
    <d v="2023-12-16T00:00:00"/>
    <n v="47"/>
    <n v="36910"/>
    <s v="Carlos"/>
    <n v="1734770"/>
  </r>
  <r>
    <n v="1019"/>
    <s v="Tablet"/>
    <s v="Accessories"/>
    <x v="2"/>
    <d v="2023-11-26T00:00:00"/>
    <n v="32"/>
    <n v="19697"/>
    <s v="Riya"/>
    <n v="630304"/>
  </r>
  <r>
    <n v="1016"/>
    <s v="Monitor"/>
    <s v="Electronics"/>
    <x v="1"/>
    <d v="2025-04-16T00:00:00"/>
    <n v="40"/>
    <n v="33053"/>
    <s v="Neha"/>
    <n v="1322120"/>
  </r>
  <r>
    <n v="1028"/>
    <s v="Monitor"/>
    <s v="Accessories"/>
    <x v="3"/>
    <d v="2025-02-01T00:00:00"/>
    <n v="24"/>
    <n v="38097"/>
    <s v="Arjun"/>
    <n v="914328"/>
  </r>
  <r>
    <n v="1005"/>
    <s v="Mobile"/>
    <s v="Accessories"/>
    <x v="1"/>
    <d v="2024-03-01T00:00:00"/>
    <n v="49"/>
    <n v="2687"/>
    <s v="John"/>
    <n v="131663"/>
  </r>
  <r>
    <n v="1008"/>
    <s v="Tablet"/>
    <s v="Accessories"/>
    <x v="0"/>
    <d v="2024-01-25T00:00:00"/>
    <n v="18"/>
    <n v="5655"/>
    <s v="Fatima"/>
    <n v="101790"/>
  </r>
  <r>
    <n v="1015"/>
    <s v="Camera"/>
    <s v="Accessories"/>
    <x v="0"/>
    <d v="2023-08-06T00:00:00"/>
    <n v="14"/>
    <n v="11031"/>
    <s v="Carlos"/>
    <n v="154434"/>
  </r>
  <r>
    <n v="1009"/>
    <s v="Keyboard"/>
    <s v="Accessories"/>
    <x v="1"/>
    <d v="2024-05-21T00:00:00"/>
    <n v="32"/>
    <n v="15046"/>
    <s v="Sakshi"/>
    <n v="481472"/>
  </r>
  <r>
    <n v="1018"/>
    <s v="Smartwatch"/>
    <s v="Electronics"/>
    <x v="2"/>
    <d v="2025-07-10T00:00:00"/>
    <n v="26"/>
    <n v="46758"/>
    <s v="Arjun"/>
    <n v="1215708"/>
  </r>
  <r>
    <n v="1020"/>
    <s v="Mouse"/>
    <s v="Electronics"/>
    <x v="2"/>
    <d v="2024-11-24T00:00:00"/>
    <n v="5"/>
    <n v="42326"/>
    <s v="Sakshi"/>
    <n v="211630"/>
  </r>
  <r>
    <n v="1036"/>
    <s v="Tablet"/>
    <s v="Accessories"/>
    <x v="2"/>
    <d v="2025-04-24T00:00:00"/>
    <n v="2"/>
    <n v="33216"/>
    <s v="John"/>
    <n v="66432"/>
  </r>
  <r>
    <n v="1045"/>
    <s v="Keyboard"/>
    <s v="Accessories"/>
    <x v="0"/>
    <d v="2025-08-08T00:00:00"/>
    <n v="32"/>
    <n v="25651"/>
    <s v="Carlos"/>
    <n v="820832"/>
  </r>
  <r>
    <n v="1044"/>
    <s v="Headphones"/>
    <s v="Accessories"/>
    <x v="1"/>
    <d v="2025-07-08T00:00:00"/>
    <n v="2"/>
    <n v="37547"/>
    <s v="Neha"/>
    <n v="75094"/>
  </r>
  <r>
    <n v="1026"/>
    <s v="Keyboard"/>
    <s v="Accessories"/>
    <x v="3"/>
    <d v="2025-05-12T00:00:00"/>
    <n v="41"/>
    <n v="29458"/>
    <s v="Sakshi"/>
    <n v="1207778"/>
  </r>
  <r>
    <n v="1002"/>
    <s v="Laptop"/>
    <s v="Electronics"/>
    <x v="3"/>
    <d v="2023-08-02T00:00:00"/>
    <n v="7"/>
    <n v="39360"/>
    <s v="Fatima"/>
    <n v="275520"/>
  </r>
  <r>
    <n v="1038"/>
    <s v="Mouse"/>
    <s v="Accessories"/>
    <x v="3"/>
    <d v="2024-04-10T00:00:00"/>
    <n v="15"/>
    <n v="36730"/>
    <s v="Sakshi"/>
    <n v="550950"/>
  </r>
  <r>
    <n v="1006"/>
    <s v="Keyboard"/>
    <s v="Accessories"/>
    <x v="0"/>
    <d v="2024-12-04T00:00:00"/>
    <n v="48"/>
    <n v="46171"/>
    <s v="Amit"/>
    <n v="2216208"/>
  </r>
  <r>
    <n v="1003"/>
    <s v="Keyboard"/>
    <s v="Electronics"/>
    <x v="3"/>
    <d v="2025-11-28T00:00:00"/>
    <n v="39"/>
    <n v="5313"/>
    <s v="Carlos"/>
    <n v="207207"/>
  </r>
  <r>
    <n v="1021"/>
    <s v="Laptop"/>
    <s v="Accessories"/>
    <x v="3"/>
    <d v="2023-05-02T00:00:00"/>
    <n v="40"/>
    <n v="28355"/>
    <s v="Neha"/>
    <n v="1134200"/>
  </r>
  <r>
    <n v="1023"/>
    <s v="Headphones"/>
    <s v="Accessories"/>
    <x v="2"/>
    <d v="2023-08-27T00:00:00"/>
    <n v="30"/>
    <n v="9663"/>
    <s v="Arjun"/>
    <n v="289890"/>
  </r>
  <r>
    <n v="1026"/>
    <s v="Monitor"/>
    <s v="Accessories"/>
    <x v="2"/>
    <d v="2025-02-07T00:00:00"/>
    <n v="23"/>
    <n v="5026"/>
    <s v="Carlos"/>
    <n v="115598"/>
  </r>
  <r>
    <n v="1049"/>
    <s v="Mobile"/>
    <s v="Accessories"/>
    <x v="3"/>
    <d v="2024-01-14T00:00:00"/>
    <n v="27"/>
    <n v="27357"/>
    <s v="Riya"/>
    <n v="738639"/>
  </r>
  <r>
    <n v="1022"/>
    <s v="Speaker"/>
    <s v="Electronics"/>
    <x v="2"/>
    <d v="2025-01-15T00:00:00"/>
    <n v="13"/>
    <n v="48294"/>
    <s v="Fatima"/>
    <n v="627822"/>
  </r>
  <r>
    <n v="1020"/>
    <s v="Laptop"/>
    <s v="Electronics"/>
    <x v="1"/>
    <d v="2024-09-14T00:00:00"/>
    <n v="28"/>
    <n v="4821"/>
    <s v="Sakshi"/>
    <n v="134988"/>
  </r>
  <r>
    <n v="1045"/>
    <s v="Headphones"/>
    <s v="Accessories"/>
    <x v="1"/>
    <d v="2024-10-26T00:00:00"/>
    <n v="27"/>
    <n v="5634"/>
    <s v="Neha"/>
    <n v="152118"/>
  </r>
  <r>
    <n v="1030"/>
    <s v="Speaker"/>
    <s v="Electronics"/>
    <x v="2"/>
    <d v="2024-09-23T00:00:00"/>
    <n v="30"/>
    <n v="23959"/>
    <s v="John"/>
    <n v="718770"/>
  </r>
  <r>
    <n v="1032"/>
    <s v="Keyboard"/>
    <s v="Accessories"/>
    <x v="2"/>
    <d v="2024-04-10T00:00:00"/>
    <n v="2"/>
    <n v="28471"/>
    <s v="Carlos"/>
    <n v="56942"/>
  </r>
  <r>
    <n v="1048"/>
    <s v="Mouse"/>
    <s v="Electronics"/>
    <x v="1"/>
    <d v="2024-11-06T00:00:00"/>
    <n v="30"/>
    <n v="41906"/>
    <s v="Sakshi"/>
    <n v="1257180"/>
  </r>
  <r>
    <n v="1002"/>
    <s v="Speaker"/>
    <s v="Accessories"/>
    <x v="0"/>
    <d v="2024-11-08T00:00:00"/>
    <n v="3"/>
    <n v="38731"/>
    <s v="John"/>
    <n v="116193"/>
  </r>
  <r>
    <n v="1048"/>
    <s v="Camera"/>
    <s v="Electronics"/>
    <x v="3"/>
    <d v="2025-12-24T00:00:00"/>
    <n v="22"/>
    <n v="20442"/>
    <s v="Arjun"/>
    <n v="449724"/>
  </r>
  <r>
    <n v="1040"/>
    <s v="Headphones"/>
    <s v="Accessories"/>
    <x v="2"/>
    <d v="2023-03-24T00:00:00"/>
    <n v="29"/>
    <n v="13544"/>
    <s v="Riya"/>
    <n v="392776"/>
  </r>
  <r>
    <n v="1039"/>
    <s v="Keyboard"/>
    <s v="Electronics"/>
    <x v="0"/>
    <d v="2023-10-21T00:00:00"/>
    <n v="14"/>
    <n v="27107"/>
    <s v="Sakshi"/>
    <n v="379498"/>
  </r>
  <r>
    <n v="1038"/>
    <s v="Monitor"/>
    <s v="Accessories"/>
    <x v="3"/>
    <d v="2025-12-06T00:00:00"/>
    <n v="45"/>
    <n v="37748"/>
    <s v="Riya"/>
    <n v="1698660"/>
  </r>
  <r>
    <n v="1030"/>
    <s v="Headphones"/>
    <s v="Electronics"/>
    <x v="2"/>
    <d v="2023-09-12T00:00:00"/>
    <n v="15"/>
    <n v="8841"/>
    <s v="Riya"/>
    <n v="132615"/>
  </r>
  <r>
    <n v="1032"/>
    <s v="Tablet"/>
    <s v="Accessories"/>
    <x v="2"/>
    <d v="2025-06-27T00:00:00"/>
    <n v="14"/>
    <n v="20852"/>
    <s v="John"/>
    <n v="291928"/>
  </r>
  <r>
    <n v="1027"/>
    <s v="Speaker"/>
    <s v="Accessories"/>
    <x v="0"/>
    <d v="2023-12-08T00:00:00"/>
    <n v="49"/>
    <n v="12097"/>
    <s v="Sakshi"/>
    <n v="592753"/>
  </r>
  <r>
    <n v="1012"/>
    <s v="Headphones"/>
    <s v="Electronics"/>
    <x v="3"/>
    <d v="2024-06-29T00:00:00"/>
    <n v="34"/>
    <n v="27769"/>
    <s v="Amit"/>
    <n v="944146"/>
  </r>
  <r>
    <n v="1046"/>
    <s v="Keyboard"/>
    <s v="Accessories"/>
    <x v="2"/>
    <d v="2024-10-24T00:00:00"/>
    <n v="48"/>
    <n v="42836"/>
    <s v="Sakshi"/>
    <n v="2056128"/>
  </r>
  <r>
    <n v="1023"/>
    <s v="Mobile"/>
    <s v="Accessories"/>
    <x v="3"/>
    <d v="2023-08-21T00:00:00"/>
    <n v="3"/>
    <n v="27729"/>
    <s v="Amit"/>
    <n v="83187"/>
  </r>
  <r>
    <n v="1015"/>
    <s v="Camera"/>
    <s v="Electronics"/>
    <x v="3"/>
    <d v="2023-12-07T00:00:00"/>
    <n v="44"/>
    <n v="29216"/>
    <s v="Amit"/>
    <n v="1285504"/>
  </r>
  <r>
    <n v="1035"/>
    <s v="Mouse"/>
    <s v="Accessories"/>
    <x v="3"/>
    <d v="2025-02-09T00:00:00"/>
    <n v="17"/>
    <n v="6928"/>
    <s v="Arjun"/>
    <n v="117776"/>
  </r>
  <r>
    <n v="1041"/>
    <s v="Headphones"/>
    <s v="Accessories"/>
    <x v="0"/>
    <d v="2025-08-15T00:00:00"/>
    <n v="48"/>
    <n v="34300"/>
    <s v="Fatima"/>
    <n v="1646400"/>
  </r>
  <r>
    <n v="1043"/>
    <s v="Monitor"/>
    <s v="Electronics"/>
    <x v="3"/>
    <d v="2025-03-29T00:00:00"/>
    <n v="35"/>
    <n v="18798"/>
    <s v="Fatima"/>
    <n v="657930"/>
  </r>
  <r>
    <n v="1003"/>
    <s v="Camera"/>
    <s v="Accessories"/>
    <x v="1"/>
    <d v="2025-02-28T00:00:00"/>
    <n v="49"/>
    <n v="30152"/>
    <s v="Arjun"/>
    <n v="1477448"/>
  </r>
  <r>
    <n v="1015"/>
    <s v="Laptop"/>
    <s v="Accessories"/>
    <x v="2"/>
    <d v="2023-07-22T00:00:00"/>
    <n v="33"/>
    <n v="49994"/>
    <s v="Amit"/>
    <n v="1649802"/>
  </r>
  <r>
    <n v="1005"/>
    <s v="Speaker"/>
    <s v="Accessories"/>
    <x v="3"/>
    <d v="2024-03-08T00:00:00"/>
    <n v="37"/>
    <n v="1913"/>
    <s v="Neha"/>
    <n v="70781"/>
  </r>
  <r>
    <n v="1028"/>
    <s v="Laptop"/>
    <s v="Accessories"/>
    <x v="2"/>
    <d v="2023-12-02T00:00:00"/>
    <n v="33"/>
    <n v="18331"/>
    <s v="Fatima"/>
    <n v="604923"/>
  </r>
  <r>
    <n v="1040"/>
    <s v="Mobile"/>
    <s v="Electronics"/>
    <x v="1"/>
    <d v="2025-01-25T00:00:00"/>
    <n v="48"/>
    <n v="39393"/>
    <s v="Sakshi"/>
    <n v="1890864"/>
  </r>
  <r>
    <n v="1010"/>
    <s v="Tablet"/>
    <s v="Electronics"/>
    <x v="1"/>
    <d v="2024-11-21T00:00:00"/>
    <n v="23"/>
    <n v="32958"/>
    <s v="Carlos"/>
    <n v="758034"/>
  </r>
  <r>
    <n v="1046"/>
    <s v="Monitor"/>
    <s v="Electronics"/>
    <x v="1"/>
    <d v="2024-06-23T00:00:00"/>
    <n v="28"/>
    <n v="640"/>
    <s v="Arjun"/>
    <n v="17920"/>
  </r>
  <r>
    <n v="1022"/>
    <s v="Monitor"/>
    <s v="Electronics"/>
    <x v="1"/>
    <d v="2025-05-23T00:00:00"/>
    <n v="17"/>
    <n v="1819"/>
    <s v="Carlos"/>
    <n v="30923"/>
  </r>
  <r>
    <n v="1003"/>
    <s v="Monitor"/>
    <s v="Electronics"/>
    <x v="2"/>
    <d v="2025-05-19T00:00:00"/>
    <n v="12"/>
    <n v="38930"/>
    <s v="Arjun"/>
    <n v="467160"/>
  </r>
  <r>
    <n v="1039"/>
    <s v="Headphones"/>
    <s v="Electronics"/>
    <x v="3"/>
    <d v="2024-12-10T00:00:00"/>
    <n v="9"/>
    <n v="48057"/>
    <s v="Arjun"/>
    <n v="432513"/>
  </r>
  <r>
    <n v="1038"/>
    <s v="Monitor"/>
    <s v="Accessories"/>
    <x v="0"/>
    <d v="2023-08-09T00:00:00"/>
    <n v="9"/>
    <n v="34350"/>
    <s v="Carlos"/>
    <n v="309150"/>
  </r>
  <r>
    <n v="1036"/>
    <s v="Camera"/>
    <s v="Accessories"/>
    <x v="3"/>
    <d v="2024-05-11T00:00:00"/>
    <n v="11"/>
    <n v="21909"/>
    <s v="Neha"/>
    <n v="240999"/>
  </r>
  <r>
    <n v="1044"/>
    <s v="Mobile"/>
    <s v="Accessories"/>
    <x v="3"/>
    <d v="2025-08-27T00:00:00"/>
    <n v="30"/>
    <n v="17937"/>
    <s v="John"/>
    <n v="538110"/>
  </r>
  <r>
    <n v="1002"/>
    <s v="Smartwatch"/>
    <s v="Accessories"/>
    <x v="2"/>
    <d v="2024-03-06T00:00:00"/>
    <n v="18"/>
    <n v="1824"/>
    <s v="Carlos"/>
    <n v="32832"/>
  </r>
  <r>
    <n v="1025"/>
    <s v="Mobile"/>
    <s v="Accessories"/>
    <x v="3"/>
    <d v="2024-01-01T00:00:00"/>
    <n v="48"/>
    <n v="29220"/>
    <s v="Amit"/>
    <n v="1402560"/>
  </r>
  <r>
    <n v="1038"/>
    <s v="Monitor"/>
    <s v="Electronics"/>
    <x v="1"/>
    <d v="2025-12-23T00:00:00"/>
    <n v="17"/>
    <n v="2610"/>
    <s v="Sakshi"/>
    <n v="44370"/>
  </r>
  <r>
    <n v="1030"/>
    <s v="Tablet"/>
    <s v="Electronics"/>
    <x v="2"/>
    <d v="2023-10-12T00:00:00"/>
    <n v="18"/>
    <n v="25791"/>
    <s v="Neha"/>
    <n v="464238"/>
  </r>
  <r>
    <n v="1006"/>
    <s v="Speaker"/>
    <s v="Electronics"/>
    <x v="0"/>
    <d v="2025-07-31T00:00:00"/>
    <n v="47"/>
    <n v="47422"/>
    <s v="Arjun"/>
    <n v="2228834"/>
  </r>
  <r>
    <n v="1015"/>
    <s v="Monitor"/>
    <s v="Accessories"/>
    <x v="2"/>
    <d v="2025-10-07T00:00:00"/>
    <n v="37"/>
    <n v="31472"/>
    <s v="Fatima"/>
    <n v="1164464"/>
  </r>
  <r>
    <n v="1021"/>
    <s v="Speaker"/>
    <s v="Electronics"/>
    <x v="2"/>
    <d v="2024-06-10T00:00:00"/>
    <n v="14"/>
    <n v="22905"/>
    <s v="Carlos"/>
    <n v="320670"/>
  </r>
  <r>
    <n v="1020"/>
    <s v="Tablet"/>
    <s v="Electronics"/>
    <x v="0"/>
    <d v="2023-06-15T00:00:00"/>
    <n v="15"/>
    <n v="38130"/>
    <s v="Carlos"/>
    <n v="5719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33"/>
    <x v="0"/>
    <x v="0"/>
    <x v="0"/>
    <d v="2025-11-07T00:00:00"/>
    <n v="29"/>
    <n v="15742"/>
    <s v="John"/>
    <n v="456518"/>
    <x v="0"/>
  </r>
  <r>
    <n v="1049"/>
    <x v="1"/>
    <x v="1"/>
    <x v="1"/>
    <d v="2023-04-17T00:00:00"/>
    <n v="32"/>
    <n v="8610"/>
    <s v="Carlos"/>
    <n v="275520"/>
    <x v="1"/>
  </r>
  <r>
    <n v="1008"/>
    <x v="2"/>
    <x v="1"/>
    <x v="2"/>
    <d v="2023-04-07T00:00:00"/>
    <n v="33"/>
    <n v="40212"/>
    <s v="Sakshi"/>
    <n v="1326996"/>
    <x v="1"/>
  </r>
  <r>
    <n v="1040"/>
    <x v="3"/>
    <x v="0"/>
    <x v="3"/>
    <d v="2023-04-24T00:00:00"/>
    <n v="6"/>
    <n v="13976"/>
    <s v="Sakshi"/>
    <n v="83856"/>
    <x v="1"/>
  </r>
  <r>
    <n v="1016"/>
    <x v="4"/>
    <x v="1"/>
    <x v="1"/>
    <d v="2024-09-30T00:00:00"/>
    <n v="15"/>
    <n v="6762"/>
    <s v="Carlos"/>
    <n v="101430"/>
    <x v="2"/>
  </r>
  <r>
    <n v="1038"/>
    <x v="3"/>
    <x v="1"/>
    <x v="3"/>
    <d v="2023-02-17T00:00:00"/>
    <n v="4"/>
    <n v="43236"/>
    <s v="Amit"/>
    <n v="172944"/>
    <x v="3"/>
  </r>
  <r>
    <n v="1044"/>
    <x v="5"/>
    <x v="1"/>
    <x v="2"/>
    <d v="2023-03-15T00:00:00"/>
    <n v="31"/>
    <n v="6822"/>
    <s v="John"/>
    <n v="211482"/>
    <x v="4"/>
  </r>
  <r>
    <n v="1041"/>
    <x v="6"/>
    <x v="0"/>
    <x v="1"/>
    <d v="2025-07-31T00:00:00"/>
    <n v="15"/>
    <n v="45111"/>
    <s v="Neha"/>
    <n v="676665"/>
    <x v="5"/>
  </r>
  <r>
    <n v="1034"/>
    <x v="7"/>
    <x v="1"/>
    <x v="1"/>
    <d v="2023-08-13T00:00:00"/>
    <n v="33"/>
    <n v="19336"/>
    <s v="Fatima"/>
    <n v="638088"/>
    <x v="6"/>
  </r>
  <r>
    <n v="1006"/>
    <x v="6"/>
    <x v="1"/>
    <x v="3"/>
    <d v="2023-04-22T00:00:00"/>
    <n v="47"/>
    <n v="33985"/>
    <s v="Riya"/>
    <n v="1597295"/>
    <x v="1"/>
  </r>
  <r>
    <n v="1039"/>
    <x v="2"/>
    <x v="1"/>
    <x v="1"/>
    <d v="2025-04-26T00:00:00"/>
    <n v="20"/>
    <n v="24131"/>
    <s v="Arjun"/>
    <n v="482620"/>
    <x v="1"/>
  </r>
  <r>
    <n v="1040"/>
    <x v="8"/>
    <x v="0"/>
    <x v="0"/>
    <d v="2024-02-25T00:00:00"/>
    <n v="33"/>
    <n v="9628"/>
    <s v="Sakshi"/>
    <n v="317724"/>
    <x v="3"/>
  </r>
  <r>
    <n v="1049"/>
    <x v="9"/>
    <x v="1"/>
    <x v="1"/>
    <d v="2024-08-31T00:00:00"/>
    <n v="18"/>
    <n v="17180"/>
    <s v="Carlos"/>
    <n v="309240"/>
    <x v="6"/>
  </r>
  <r>
    <n v="1023"/>
    <x v="7"/>
    <x v="0"/>
    <x v="0"/>
    <d v="2025-12-28T00:00:00"/>
    <n v="39"/>
    <n v="7138"/>
    <s v="Amit"/>
    <n v="278382"/>
    <x v="7"/>
  </r>
  <r>
    <n v="1021"/>
    <x v="1"/>
    <x v="1"/>
    <x v="3"/>
    <d v="2024-03-27T00:00:00"/>
    <n v="10"/>
    <n v="47413"/>
    <s v="John"/>
    <n v="474130"/>
    <x v="4"/>
  </r>
  <r>
    <n v="1035"/>
    <x v="4"/>
    <x v="0"/>
    <x v="3"/>
    <d v="2023-01-03T00:00:00"/>
    <n v="3"/>
    <n v="21778"/>
    <s v="Carlos"/>
    <n v="65334"/>
    <x v="8"/>
  </r>
  <r>
    <n v="1047"/>
    <x v="6"/>
    <x v="1"/>
    <x v="3"/>
    <d v="2023-12-07T00:00:00"/>
    <n v="34"/>
    <n v="35028"/>
    <s v="Neha"/>
    <n v="1190952"/>
    <x v="7"/>
  </r>
  <r>
    <n v="1029"/>
    <x v="1"/>
    <x v="1"/>
    <x v="3"/>
    <d v="2023-02-09T00:00:00"/>
    <n v="25"/>
    <n v="20777"/>
    <s v="Riya"/>
    <n v="519425"/>
    <x v="3"/>
  </r>
  <r>
    <n v="1035"/>
    <x v="4"/>
    <x v="0"/>
    <x v="0"/>
    <d v="2024-08-19T00:00:00"/>
    <n v="28"/>
    <n v="1445"/>
    <s v="Sakshi"/>
    <n v="40460"/>
    <x v="6"/>
  </r>
  <r>
    <n v="1002"/>
    <x v="9"/>
    <x v="0"/>
    <x v="1"/>
    <d v="2024-05-19T00:00:00"/>
    <n v="48"/>
    <n v="31602"/>
    <s v="Arjun"/>
    <n v="1516896"/>
    <x v="9"/>
  </r>
  <r>
    <n v="1033"/>
    <x v="0"/>
    <x v="1"/>
    <x v="2"/>
    <d v="2023-04-10T00:00:00"/>
    <n v="21"/>
    <n v="16192"/>
    <s v="John"/>
    <n v="340032"/>
    <x v="1"/>
  </r>
  <r>
    <n v="1026"/>
    <x v="5"/>
    <x v="1"/>
    <x v="2"/>
    <d v="2024-01-16T00:00:00"/>
    <n v="15"/>
    <n v="2741"/>
    <s v="Fatima"/>
    <n v="41115"/>
    <x v="8"/>
  </r>
  <r>
    <n v="1044"/>
    <x v="7"/>
    <x v="1"/>
    <x v="2"/>
    <d v="2023-08-02T00:00:00"/>
    <n v="4"/>
    <n v="44373"/>
    <s v="John"/>
    <n v="177492"/>
    <x v="6"/>
  </r>
  <r>
    <n v="1032"/>
    <x v="4"/>
    <x v="0"/>
    <x v="3"/>
    <d v="2025-05-12T00:00:00"/>
    <n v="27"/>
    <n v="20050"/>
    <s v="Carlos"/>
    <n v="541350"/>
    <x v="9"/>
  </r>
  <r>
    <n v="1018"/>
    <x v="9"/>
    <x v="1"/>
    <x v="1"/>
    <d v="2023-10-18T00:00:00"/>
    <n v="36"/>
    <n v="16667"/>
    <s v="John"/>
    <n v="600012"/>
    <x v="10"/>
  </r>
  <r>
    <n v="1034"/>
    <x v="9"/>
    <x v="1"/>
    <x v="0"/>
    <d v="2024-08-11T00:00:00"/>
    <n v="30"/>
    <n v="46248"/>
    <s v="Amit"/>
    <n v="1387440"/>
    <x v="6"/>
  </r>
  <r>
    <n v="1030"/>
    <x v="7"/>
    <x v="0"/>
    <x v="1"/>
    <d v="2023-04-17T00:00:00"/>
    <n v="11"/>
    <n v="47922"/>
    <s v="Sakshi"/>
    <n v="527142"/>
    <x v="1"/>
  </r>
  <r>
    <n v="1044"/>
    <x v="7"/>
    <x v="1"/>
    <x v="0"/>
    <d v="2025-04-17T00:00:00"/>
    <n v="44"/>
    <n v="11088"/>
    <s v="Arjun"/>
    <n v="487872"/>
    <x v="1"/>
  </r>
  <r>
    <n v="1023"/>
    <x v="7"/>
    <x v="1"/>
    <x v="2"/>
    <d v="2024-07-30T00:00:00"/>
    <n v="25"/>
    <n v="25569"/>
    <s v="Arjun"/>
    <n v="639225"/>
    <x v="5"/>
  </r>
  <r>
    <n v="1048"/>
    <x v="5"/>
    <x v="0"/>
    <x v="1"/>
    <d v="2025-04-23T00:00:00"/>
    <n v="30"/>
    <n v="40081"/>
    <s v="Riya"/>
    <n v="1202430"/>
    <x v="1"/>
  </r>
  <r>
    <n v="1020"/>
    <x v="6"/>
    <x v="0"/>
    <x v="3"/>
    <d v="2025-04-06T00:00:00"/>
    <n v="35"/>
    <n v="24686"/>
    <s v="Carlos"/>
    <n v="864010"/>
    <x v="1"/>
  </r>
  <r>
    <n v="1046"/>
    <x v="2"/>
    <x v="1"/>
    <x v="2"/>
    <d v="2023-05-27T00:00:00"/>
    <n v="28"/>
    <n v="27108"/>
    <s v="Neha"/>
    <n v="759024"/>
    <x v="9"/>
  </r>
  <r>
    <n v="1023"/>
    <x v="9"/>
    <x v="0"/>
    <x v="1"/>
    <d v="2024-04-29T00:00:00"/>
    <n v="30"/>
    <n v="14484"/>
    <s v="Amit"/>
    <n v="434520"/>
    <x v="1"/>
  </r>
  <r>
    <n v="1040"/>
    <x v="3"/>
    <x v="0"/>
    <x v="2"/>
    <d v="2025-09-30T00:00:00"/>
    <n v="13"/>
    <n v="8752"/>
    <s v="Amit"/>
    <n v="113776"/>
    <x v="2"/>
  </r>
  <r>
    <n v="1008"/>
    <x v="5"/>
    <x v="1"/>
    <x v="1"/>
    <d v="2024-02-16T00:00:00"/>
    <n v="44"/>
    <n v="10437"/>
    <s v="Riya"/>
    <n v="459228"/>
    <x v="3"/>
  </r>
  <r>
    <n v="1014"/>
    <x v="4"/>
    <x v="0"/>
    <x v="3"/>
    <d v="2023-06-08T00:00:00"/>
    <n v="25"/>
    <n v="17840"/>
    <s v="Carlos"/>
    <n v="446000"/>
    <x v="11"/>
  </r>
  <r>
    <n v="1023"/>
    <x v="6"/>
    <x v="1"/>
    <x v="0"/>
    <d v="2024-01-07T00:00:00"/>
    <n v="6"/>
    <n v="21673"/>
    <s v="Carlos"/>
    <n v="130038"/>
    <x v="8"/>
  </r>
  <r>
    <n v="1046"/>
    <x v="9"/>
    <x v="0"/>
    <x v="0"/>
    <d v="2024-12-21T00:00:00"/>
    <n v="32"/>
    <n v="36122"/>
    <s v="Sakshi"/>
    <n v="1155904"/>
    <x v="7"/>
  </r>
  <r>
    <n v="1014"/>
    <x v="7"/>
    <x v="1"/>
    <x v="3"/>
    <d v="2024-01-26T00:00:00"/>
    <n v="10"/>
    <n v="23254"/>
    <s v="Fatima"/>
    <n v="232540"/>
    <x v="8"/>
  </r>
  <r>
    <n v="1002"/>
    <x v="4"/>
    <x v="0"/>
    <x v="2"/>
    <d v="2023-09-13T00:00:00"/>
    <n v="35"/>
    <n v="11855"/>
    <s v="Amit"/>
    <n v="414925"/>
    <x v="2"/>
  </r>
  <r>
    <n v="1004"/>
    <x v="3"/>
    <x v="0"/>
    <x v="0"/>
    <d v="2023-12-26T00:00:00"/>
    <n v="39"/>
    <n v="33259"/>
    <s v="Amit"/>
    <n v="1297101"/>
    <x v="7"/>
  </r>
  <r>
    <n v="1024"/>
    <x v="1"/>
    <x v="1"/>
    <x v="3"/>
    <d v="2025-08-08T00:00:00"/>
    <n v="20"/>
    <n v="34192"/>
    <s v="Riya"/>
    <n v="683840"/>
    <x v="6"/>
  </r>
  <r>
    <n v="1036"/>
    <x v="1"/>
    <x v="0"/>
    <x v="1"/>
    <d v="2024-07-09T00:00:00"/>
    <n v="16"/>
    <n v="46780"/>
    <s v="John"/>
    <n v="748480"/>
    <x v="5"/>
  </r>
  <r>
    <n v="1009"/>
    <x v="2"/>
    <x v="1"/>
    <x v="0"/>
    <d v="2024-11-26T00:00:00"/>
    <n v="7"/>
    <n v="14592"/>
    <s v="John"/>
    <n v="102144"/>
    <x v="0"/>
  </r>
  <r>
    <n v="1016"/>
    <x v="0"/>
    <x v="0"/>
    <x v="2"/>
    <d v="2024-06-21T00:00:00"/>
    <n v="3"/>
    <n v="19072"/>
    <s v="Arjun"/>
    <n v="57216"/>
    <x v="11"/>
  </r>
  <r>
    <n v="1032"/>
    <x v="4"/>
    <x v="0"/>
    <x v="2"/>
    <d v="2024-03-10T00:00:00"/>
    <n v="40"/>
    <n v="29593"/>
    <s v="Carlos"/>
    <n v="1183720"/>
    <x v="4"/>
  </r>
  <r>
    <n v="1032"/>
    <x v="6"/>
    <x v="1"/>
    <x v="2"/>
    <d v="2024-06-14T00:00:00"/>
    <n v="28"/>
    <n v="39830"/>
    <s v="Fatima"/>
    <n v="1115240"/>
    <x v="11"/>
  </r>
  <r>
    <n v="1027"/>
    <x v="1"/>
    <x v="1"/>
    <x v="1"/>
    <d v="2023-02-21T00:00:00"/>
    <n v="32"/>
    <n v="42663"/>
    <s v="Riya"/>
    <n v="1365216"/>
    <x v="3"/>
  </r>
  <r>
    <n v="1015"/>
    <x v="7"/>
    <x v="0"/>
    <x v="2"/>
    <d v="2025-07-29T00:00:00"/>
    <n v="46"/>
    <n v="27918"/>
    <s v="John"/>
    <n v="1284228"/>
    <x v="5"/>
  </r>
  <r>
    <n v="1049"/>
    <x v="6"/>
    <x v="1"/>
    <x v="2"/>
    <d v="2025-12-16T00:00:00"/>
    <n v="40"/>
    <n v="28114"/>
    <s v="John"/>
    <n v="1124560"/>
    <x v="7"/>
  </r>
  <r>
    <n v="1004"/>
    <x v="3"/>
    <x v="1"/>
    <x v="3"/>
    <d v="2023-12-09T00:00:00"/>
    <n v="4"/>
    <n v="36019"/>
    <s v="Neha"/>
    <n v="144076"/>
    <x v="7"/>
  </r>
  <r>
    <n v="1036"/>
    <x v="0"/>
    <x v="1"/>
    <x v="0"/>
    <d v="2024-05-30T00:00:00"/>
    <n v="39"/>
    <n v="17965"/>
    <s v="John"/>
    <n v="700635"/>
    <x v="9"/>
  </r>
  <r>
    <n v="1025"/>
    <x v="8"/>
    <x v="1"/>
    <x v="0"/>
    <d v="2025-12-27T00:00:00"/>
    <n v="15"/>
    <n v="17130"/>
    <s v="Amit"/>
    <n v="256950"/>
    <x v="7"/>
  </r>
  <r>
    <n v="1015"/>
    <x v="7"/>
    <x v="1"/>
    <x v="3"/>
    <d v="2023-05-20T00:00:00"/>
    <n v="45"/>
    <n v="47936"/>
    <s v="Arjun"/>
    <n v="2157120"/>
    <x v="9"/>
  </r>
  <r>
    <n v="1012"/>
    <x v="3"/>
    <x v="1"/>
    <x v="3"/>
    <d v="2024-10-23T00:00:00"/>
    <n v="19"/>
    <n v="49351"/>
    <s v="Sakshi"/>
    <n v="937669"/>
    <x v="10"/>
  </r>
  <r>
    <n v="1007"/>
    <x v="6"/>
    <x v="1"/>
    <x v="2"/>
    <d v="2024-04-18T00:00:00"/>
    <n v="5"/>
    <n v="1295"/>
    <s v="Carlos"/>
    <n v="6475"/>
    <x v="1"/>
  </r>
  <r>
    <n v="1036"/>
    <x v="9"/>
    <x v="1"/>
    <x v="1"/>
    <d v="2023-01-04T00:00:00"/>
    <n v="30"/>
    <n v="13916"/>
    <s v="Riya"/>
    <n v="417480"/>
    <x v="8"/>
  </r>
  <r>
    <n v="1024"/>
    <x v="4"/>
    <x v="0"/>
    <x v="0"/>
    <d v="2025-01-25T00:00:00"/>
    <n v="47"/>
    <n v="4186"/>
    <s v="Sakshi"/>
    <n v="196742"/>
    <x v="8"/>
  </r>
  <r>
    <n v="1006"/>
    <x v="9"/>
    <x v="0"/>
    <x v="2"/>
    <d v="2025-10-13T00:00:00"/>
    <n v="44"/>
    <n v="9629"/>
    <s v="Fatima"/>
    <n v="423676"/>
    <x v="10"/>
  </r>
  <r>
    <n v="1048"/>
    <x v="5"/>
    <x v="0"/>
    <x v="1"/>
    <d v="2023-09-20T00:00:00"/>
    <n v="4"/>
    <n v="21787"/>
    <s v="Fatima"/>
    <n v="87148"/>
    <x v="2"/>
  </r>
  <r>
    <n v="1041"/>
    <x v="2"/>
    <x v="1"/>
    <x v="0"/>
    <d v="2023-09-23T00:00:00"/>
    <n v="47"/>
    <n v="7604"/>
    <s v="Amit"/>
    <n v="357388"/>
    <x v="2"/>
  </r>
  <r>
    <n v="1045"/>
    <x v="8"/>
    <x v="0"/>
    <x v="2"/>
    <d v="2025-11-04T00:00:00"/>
    <n v="31"/>
    <n v="18062"/>
    <s v="John"/>
    <n v="559922"/>
    <x v="0"/>
  </r>
  <r>
    <n v="1031"/>
    <x v="2"/>
    <x v="0"/>
    <x v="2"/>
    <d v="2024-04-12T00:00:00"/>
    <n v="28"/>
    <n v="31938"/>
    <s v="Arjun"/>
    <n v="894264"/>
    <x v="1"/>
  </r>
  <r>
    <n v="1021"/>
    <x v="8"/>
    <x v="1"/>
    <x v="3"/>
    <d v="2025-06-08T00:00:00"/>
    <n v="23"/>
    <n v="25710"/>
    <s v="Sakshi"/>
    <n v="591330"/>
    <x v="11"/>
  </r>
  <r>
    <n v="1011"/>
    <x v="6"/>
    <x v="0"/>
    <x v="1"/>
    <d v="2023-05-21T00:00:00"/>
    <n v="47"/>
    <n v="17100"/>
    <s v="Sakshi"/>
    <n v="803700"/>
    <x v="9"/>
  </r>
  <r>
    <n v="1016"/>
    <x v="9"/>
    <x v="1"/>
    <x v="2"/>
    <d v="2024-03-14T00:00:00"/>
    <n v="29"/>
    <n v="31271"/>
    <s v="Amit"/>
    <n v="906859"/>
    <x v="4"/>
  </r>
  <r>
    <n v="1014"/>
    <x v="6"/>
    <x v="0"/>
    <x v="2"/>
    <d v="2024-06-23T00:00:00"/>
    <n v="30"/>
    <n v="33687"/>
    <s v="John"/>
    <n v="1010610"/>
    <x v="11"/>
  </r>
  <r>
    <n v="1025"/>
    <x v="5"/>
    <x v="0"/>
    <x v="2"/>
    <d v="2025-03-17T00:00:00"/>
    <n v="43"/>
    <n v="49367"/>
    <s v="Sakshi"/>
    <n v="2122781"/>
    <x v="4"/>
  </r>
  <r>
    <n v="1014"/>
    <x v="9"/>
    <x v="1"/>
    <x v="0"/>
    <d v="2025-05-17T00:00:00"/>
    <n v="24"/>
    <n v="24401"/>
    <s v="Carlos"/>
    <n v="585624"/>
    <x v="9"/>
  </r>
  <r>
    <n v="1038"/>
    <x v="9"/>
    <x v="0"/>
    <x v="3"/>
    <d v="2023-04-10T00:00:00"/>
    <n v="10"/>
    <n v="808"/>
    <s v="Sakshi"/>
    <n v="8080"/>
    <x v="1"/>
  </r>
  <r>
    <n v="1018"/>
    <x v="6"/>
    <x v="1"/>
    <x v="2"/>
    <d v="2023-07-13T00:00:00"/>
    <n v="48"/>
    <n v="5303"/>
    <s v="Sakshi"/>
    <n v="254544"/>
    <x v="5"/>
  </r>
  <r>
    <n v="1014"/>
    <x v="7"/>
    <x v="0"/>
    <x v="2"/>
    <d v="2025-03-26T00:00:00"/>
    <n v="47"/>
    <n v="30625"/>
    <s v="Amit"/>
    <n v="1439375"/>
    <x v="4"/>
  </r>
  <r>
    <n v="1024"/>
    <x v="4"/>
    <x v="1"/>
    <x v="3"/>
    <d v="2024-05-08T00:00:00"/>
    <n v="30"/>
    <n v="47288"/>
    <s v="Riya"/>
    <n v="1418640"/>
    <x v="9"/>
  </r>
  <r>
    <n v="1008"/>
    <x v="6"/>
    <x v="0"/>
    <x v="1"/>
    <d v="2023-01-17T00:00:00"/>
    <n v="23"/>
    <n v="41367"/>
    <s v="John"/>
    <n v="951441"/>
    <x v="8"/>
  </r>
  <r>
    <n v="1045"/>
    <x v="3"/>
    <x v="1"/>
    <x v="3"/>
    <d v="2023-12-27T00:00:00"/>
    <n v="39"/>
    <n v="9675"/>
    <s v="Arjun"/>
    <n v="377325"/>
    <x v="7"/>
  </r>
  <r>
    <n v="1025"/>
    <x v="6"/>
    <x v="1"/>
    <x v="3"/>
    <d v="2023-02-16T00:00:00"/>
    <n v="21"/>
    <n v="49045"/>
    <s v="Amit"/>
    <n v="1029945"/>
    <x v="3"/>
  </r>
  <r>
    <n v="1034"/>
    <x v="1"/>
    <x v="1"/>
    <x v="2"/>
    <d v="2023-09-29T00:00:00"/>
    <n v="1"/>
    <n v="19171"/>
    <s v="Amit"/>
    <n v="19171"/>
    <x v="2"/>
  </r>
  <r>
    <n v="1045"/>
    <x v="0"/>
    <x v="0"/>
    <x v="2"/>
    <d v="2023-10-24T00:00:00"/>
    <n v="40"/>
    <n v="38970"/>
    <s v="Sakshi"/>
    <n v="1558800"/>
    <x v="10"/>
  </r>
  <r>
    <n v="1044"/>
    <x v="8"/>
    <x v="0"/>
    <x v="3"/>
    <d v="2025-09-06T00:00:00"/>
    <n v="10"/>
    <n v="14270"/>
    <s v="John"/>
    <n v="142700"/>
    <x v="2"/>
  </r>
  <r>
    <n v="1028"/>
    <x v="2"/>
    <x v="1"/>
    <x v="2"/>
    <d v="2025-04-16T00:00:00"/>
    <n v="29"/>
    <n v="20198"/>
    <s v="Carlos"/>
    <n v="585742"/>
    <x v="1"/>
  </r>
  <r>
    <n v="1024"/>
    <x v="4"/>
    <x v="0"/>
    <x v="3"/>
    <d v="2025-07-15T00:00:00"/>
    <n v="31"/>
    <n v="42021"/>
    <s v="Arjun"/>
    <n v="1302651"/>
    <x v="5"/>
  </r>
  <r>
    <n v="1018"/>
    <x v="9"/>
    <x v="0"/>
    <x v="2"/>
    <d v="2023-03-02T00:00:00"/>
    <n v="30"/>
    <n v="36863"/>
    <s v="John"/>
    <n v="1105890"/>
    <x v="4"/>
  </r>
  <r>
    <n v="1034"/>
    <x v="6"/>
    <x v="0"/>
    <x v="0"/>
    <d v="2023-11-18T00:00:00"/>
    <n v="39"/>
    <n v="21771"/>
    <s v="Amit"/>
    <n v="849069"/>
    <x v="0"/>
  </r>
  <r>
    <n v="1042"/>
    <x v="1"/>
    <x v="1"/>
    <x v="2"/>
    <d v="2025-02-05T00:00:00"/>
    <n v="11"/>
    <n v="26478"/>
    <s v="Neha"/>
    <n v="291258"/>
    <x v="3"/>
  </r>
  <r>
    <n v="1003"/>
    <x v="7"/>
    <x v="1"/>
    <x v="1"/>
    <d v="2023-11-20T00:00:00"/>
    <n v="43"/>
    <n v="3078"/>
    <s v="Neha"/>
    <n v="132354"/>
    <x v="0"/>
  </r>
  <r>
    <n v="1012"/>
    <x v="7"/>
    <x v="1"/>
    <x v="0"/>
    <d v="2025-03-30T00:00:00"/>
    <n v="22"/>
    <n v="38456"/>
    <s v="Amit"/>
    <n v="846032"/>
    <x v="4"/>
  </r>
  <r>
    <n v="1036"/>
    <x v="7"/>
    <x v="1"/>
    <x v="3"/>
    <d v="2025-09-25T00:00:00"/>
    <n v="25"/>
    <n v="36212"/>
    <s v="Carlos"/>
    <n v="905300"/>
    <x v="2"/>
  </r>
  <r>
    <n v="1005"/>
    <x v="5"/>
    <x v="1"/>
    <x v="2"/>
    <d v="2023-03-30T00:00:00"/>
    <n v="25"/>
    <n v="25646"/>
    <s v="John"/>
    <n v="641150"/>
    <x v="4"/>
  </r>
  <r>
    <n v="1019"/>
    <x v="4"/>
    <x v="1"/>
    <x v="3"/>
    <d v="2024-02-17T00:00:00"/>
    <n v="25"/>
    <n v="5906"/>
    <s v="Amit"/>
    <n v="147650"/>
    <x v="3"/>
  </r>
  <r>
    <n v="1012"/>
    <x v="1"/>
    <x v="0"/>
    <x v="1"/>
    <d v="2023-12-07T00:00:00"/>
    <n v="35"/>
    <n v="35719"/>
    <s v="Neha"/>
    <n v="1250165"/>
    <x v="7"/>
  </r>
  <r>
    <n v="1027"/>
    <x v="1"/>
    <x v="0"/>
    <x v="3"/>
    <d v="2024-05-11T00:00:00"/>
    <n v="35"/>
    <n v="18539"/>
    <s v="Riya"/>
    <n v="648865"/>
    <x v="9"/>
  </r>
  <r>
    <n v="1017"/>
    <x v="9"/>
    <x v="1"/>
    <x v="1"/>
    <d v="2024-04-25T00:00:00"/>
    <n v="46"/>
    <n v="45773"/>
    <s v="Sakshi"/>
    <n v="2105558"/>
    <x v="1"/>
  </r>
  <r>
    <n v="1043"/>
    <x v="8"/>
    <x v="1"/>
    <x v="0"/>
    <d v="2024-02-29T00:00:00"/>
    <n v="35"/>
    <n v="29959"/>
    <s v="John"/>
    <n v="1048565"/>
    <x v="3"/>
  </r>
  <r>
    <n v="1028"/>
    <x v="1"/>
    <x v="1"/>
    <x v="1"/>
    <d v="2025-06-03T00:00:00"/>
    <n v="47"/>
    <n v="21670"/>
    <s v="Amit"/>
    <n v="1018490"/>
    <x v="11"/>
  </r>
  <r>
    <n v="1040"/>
    <x v="5"/>
    <x v="0"/>
    <x v="0"/>
    <d v="2025-02-01T00:00:00"/>
    <n v="44"/>
    <n v="11539"/>
    <s v="John"/>
    <n v="507716"/>
    <x v="3"/>
  </r>
  <r>
    <n v="1022"/>
    <x v="6"/>
    <x v="0"/>
    <x v="1"/>
    <d v="2025-08-17T00:00:00"/>
    <n v="17"/>
    <n v="49583"/>
    <s v="Carlos"/>
    <n v="842911"/>
    <x v="6"/>
  </r>
  <r>
    <n v="1010"/>
    <x v="1"/>
    <x v="0"/>
    <x v="0"/>
    <d v="2023-02-28T00:00:00"/>
    <n v="9"/>
    <n v="20769"/>
    <s v="Amit"/>
    <n v="186921"/>
    <x v="3"/>
  </r>
  <r>
    <n v="1041"/>
    <x v="5"/>
    <x v="1"/>
    <x v="1"/>
    <d v="2023-03-19T00:00:00"/>
    <n v="11"/>
    <n v="33133"/>
    <s v="Arjun"/>
    <n v="364463"/>
    <x v="4"/>
  </r>
  <r>
    <n v="1006"/>
    <x v="2"/>
    <x v="0"/>
    <x v="0"/>
    <d v="2023-01-09T00:00:00"/>
    <n v="39"/>
    <n v="41804"/>
    <s v="Sakshi"/>
    <n v="1630356"/>
    <x v="8"/>
  </r>
  <r>
    <n v="1017"/>
    <x v="7"/>
    <x v="1"/>
    <x v="2"/>
    <d v="2024-01-26T00:00:00"/>
    <n v="12"/>
    <n v="47266"/>
    <s v="John"/>
    <n v="567192"/>
    <x v="8"/>
  </r>
  <r>
    <n v="1012"/>
    <x v="3"/>
    <x v="1"/>
    <x v="0"/>
    <d v="2025-12-25T00:00:00"/>
    <n v="24"/>
    <n v="36945"/>
    <s v="John"/>
    <n v="886680"/>
    <x v="7"/>
  </r>
  <r>
    <n v="1006"/>
    <x v="0"/>
    <x v="0"/>
    <x v="3"/>
    <d v="2024-07-06T00:00:00"/>
    <n v="27"/>
    <n v="32431"/>
    <s v="John"/>
    <n v="875637"/>
    <x v="5"/>
  </r>
  <r>
    <n v="1043"/>
    <x v="2"/>
    <x v="1"/>
    <x v="2"/>
    <d v="2024-04-05T00:00:00"/>
    <n v="22"/>
    <n v="3376"/>
    <s v="John"/>
    <n v="74272"/>
    <x v="1"/>
  </r>
  <r>
    <n v="1022"/>
    <x v="7"/>
    <x v="0"/>
    <x v="1"/>
    <d v="2024-09-27T00:00:00"/>
    <n v="6"/>
    <n v="16201"/>
    <s v="Fatima"/>
    <n v="97206"/>
    <x v="2"/>
  </r>
  <r>
    <n v="1016"/>
    <x v="8"/>
    <x v="0"/>
    <x v="0"/>
    <d v="2023-05-16T00:00:00"/>
    <n v="5"/>
    <n v="38218"/>
    <s v="Arjun"/>
    <n v="191090"/>
    <x v="9"/>
  </r>
  <r>
    <n v="1004"/>
    <x v="1"/>
    <x v="1"/>
    <x v="0"/>
    <d v="2025-02-20T00:00:00"/>
    <n v="32"/>
    <n v="25480"/>
    <s v="Amit"/>
    <n v="815360"/>
    <x v="3"/>
  </r>
  <r>
    <n v="1025"/>
    <x v="7"/>
    <x v="1"/>
    <x v="0"/>
    <d v="2025-02-02T00:00:00"/>
    <n v="9"/>
    <n v="2402"/>
    <s v="Carlos"/>
    <n v="21618"/>
    <x v="3"/>
  </r>
  <r>
    <n v="1033"/>
    <x v="6"/>
    <x v="0"/>
    <x v="1"/>
    <d v="2024-04-16T00:00:00"/>
    <n v="31"/>
    <n v="672"/>
    <s v="Carlos"/>
    <n v="20832"/>
    <x v="1"/>
  </r>
  <r>
    <n v="1001"/>
    <x v="6"/>
    <x v="1"/>
    <x v="3"/>
    <d v="2024-07-29T00:00:00"/>
    <n v="16"/>
    <n v="9809"/>
    <s v="John"/>
    <n v="156944"/>
    <x v="5"/>
  </r>
  <r>
    <n v="1015"/>
    <x v="0"/>
    <x v="0"/>
    <x v="1"/>
    <d v="2024-04-26T00:00:00"/>
    <n v="37"/>
    <n v="24836"/>
    <s v="Carlos"/>
    <n v="918932"/>
    <x v="1"/>
  </r>
  <r>
    <n v="1017"/>
    <x v="0"/>
    <x v="0"/>
    <x v="0"/>
    <d v="2024-05-30T00:00:00"/>
    <n v="19"/>
    <n v="6702"/>
    <s v="Riya"/>
    <n v="127338"/>
    <x v="9"/>
  </r>
  <r>
    <n v="1043"/>
    <x v="5"/>
    <x v="1"/>
    <x v="2"/>
    <d v="2023-01-18T00:00:00"/>
    <n v="24"/>
    <n v="29020"/>
    <s v="John"/>
    <n v="696480"/>
    <x v="8"/>
  </r>
  <r>
    <n v="1019"/>
    <x v="3"/>
    <x v="0"/>
    <x v="0"/>
    <d v="2025-01-20T00:00:00"/>
    <n v="12"/>
    <n v="46964"/>
    <s v="Riya"/>
    <n v="563568"/>
    <x v="8"/>
  </r>
  <r>
    <n v="1019"/>
    <x v="3"/>
    <x v="0"/>
    <x v="2"/>
    <d v="2023-07-17T00:00:00"/>
    <n v="41"/>
    <n v="1417"/>
    <s v="Carlos"/>
    <n v="58097"/>
    <x v="5"/>
  </r>
  <r>
    <n v="1020"/>
    <x v="3"/>
    <x v="0"/>
    <x v="0"/>
    <d v="2024-09-01T00:00:00"/>
    <n v="11"/>
    <n v="39815"/>
    <s v="Carlos"/>
    <n v="437965"/>
    <x v="2"/>
  </r>
  <r>
    <n v="1001"/>
    <x v="3"/>
    <x v="1"/>
    <x v="3"/>
    <d v="2024-07-16T00:00:00"/>
    <n v="45"/>
    <n v="13917"/>
    <s v="Riya"/>
    <n v="626265"/>
    <x v="5"/>
  </r>
  <r>
    <n v="1023"/>
    <x v="0"/>
    <x v="0"/>
    <x v="3"/>
    <d v="2024-10-20T00:00:00"/>
    <n v="25"/>
    <n v="3458"/>
    <s v="Amit"/>
    <n v="86450"/>
    <x v="10"/>
  </r>
  <r>
    <n v="1016"/>
    <x v="3"/>
    <x v="1"/>
    <x v="1"/>
    <d v="2024-07-11T00:00:00"/>
    <n v="23"/>
    <n v="28188"/>
    <s v="John"/>
    <n v="648324"/>
    <x v="5"/>
  </r>
  <r>
    <n v="1024"/>
    <x v="9"/>
    <x v="1"/>
    <x v="3"/>
    <d v="2025-07-20T00:00:00"/>
    <n v="46"/>
    <n v="22255"/>
    <s v="Carlos"/>
    <n v="1023730"/>
    <x v="5"/>
  </r>
  <r>
    <n v="1020"/>
    <x v="6"/>
    <x v="1"/>
    <x v="2"/>
    <d v="2024-04-20T00:00:00"/>
    <n v="34"/>
    <n v="41766"/>
    <s v="Sakshi"/>
    <n v="1420044"/>
    <x v="1"/>
  </r>
  <r>
    <n v="1015"/>
    <x v="5"/>
    <x v="1"/>
    <x v="1"/>
    <d v="2024-11-17T00:00:00"/>
    <n v="15"/>
    <n v="10543"/>
    <s v="Amit"/>
    <n v="158145"/>
    <x v="0"/>
  </r>
  <r>
    <n v="1024"/>
    <x v="6"/>
    <x v="1"/>
    <x v="3"/>
    <d v="2024-05-18T00:00:00"/>
    <n v="43"/>
    <n v="33130"/>
    <s v="Arjun"/>
    <n v="1424590"/>
    <x v="9"/>
  </r>
  <r>
    <n v="1037"/>
    <x v="3"/>
    <x v="0"/>
    <x v="0"/>
    <d v="2023-03-15T00:00:00"/>
    <n v="48"/>
    <n v="14986"/>
    <s v="Riya"/>
    <n v="719328"/>
    <x v="4"/>
  </r>
  <r>
    <n v="1041"/>
    <x v="8"/>
    <x v="0"/>
    <x v="3"/>
    <d v="2025-09-04T00:00:00"/>
    <n v="3"/>
    <n v="49644"/>
    <s v="Fatima"/>
    <n v="148932"/>
    <x v="2"/>
  </r>
  <r>
    <n v="1033"/>
    <x v="5"/>
    <x v="0"/>
    <x v="1"/>
    <d v="2024-07-28T00:00:00"/>
    <n v="14"/>
    <n v="34098"/>
    <s v="John"/>
    <n v="477372"/>
    <x v="5"/>
  </r>
  <r>
    <n v="1032"/>
    <x v="7"/>
    <x v="1"/>
    <x v="3"/>
    <d v="2023-04-03T00:00:00"/>
    <n v="20"/>
    <n v="9116"/>
    <s v="Riya"/>
    <n v="182320"/>
    <x v="1"/>
  </r>
  <r>
    <n v="1031"/>
    <x v="4"/>
    <x v="0"/>
    <x v="2"/>
    <d v="2024-04-04T00:00:00"/>
    <n v="48"/>
    <n v="4251"/>
    <s v="Fatima"/>
    <n v="204048"/>
    <x v="1"/>
  </r>
  <r>
    <n v="1015"/>
    <x v="1"/>
    <x v="1"/>
    <x v="2"/>
    <d v="2025-06-18T00:00:00"/>
    <n v="49"/>
    <n v="13564"/>
    <s v="Fatima"/>
    <n v="664636"/>
    <x v="11"/>
  </r>
  <r>
    <n v="1001"/>
    <x v="7"/>
    <x v="0"/>
    <x v="2"/>
    <d v="2024-07-11T00:00:00"/>
    <n v="26"/>
    <n v="2305"/>
    <s v="Fatima"/>
    <n v="59930"/>
    <x v="5"/>
  </r>
  <r>
    <n v="1049"/>
    <x v="5"/>
    <x v="1"/>
    <x v="2"/>
    <d v="2024-09-26T00:00:00"/>
    <n v="44"/>
    <n v="8689"/>
    <s v="Sakshi"/>
    <n v="382316"/>
    <x v="2"/>
  </r>
  <r>
    <n v="1012"/>
    <x v="4"/>
    <x v="0"/>
    <x v="2"/>
    <d v="2024-03-18T00:00:00"/>
    <n v="37"/>
    <n v="13412"/>
    <s v="Arjun"/>
    <n v="496244"/>
    <x v="4"/>
  </r>
  <r>
    <n v="1035"/>
    <x v="0"/>
    <x v="0"/>
    <x v="1"/>
    <d v="2024-02-12T00:00:00"/>
    <n v="4"/>
    <n v="31104"/>
    <s v="John"/>
    <n v="124416"/>
    <x v="3"/>
  </r>
  <r>
    <n v="1037"/>
    <x v="2"/>
    <x v="1"/>
    <x v="3"/>
    <d v="2023-10-09T00:00:00"/>
    <n v="40"/>
    <n v="49743"/>
    <s v="John"/>
    <n v="1989720"/>
    <x v="10"/>
  </r>
  <r>
    <n v="1048"/>
    <x v="4"/>
    <x v="1"/>
    <x v="1"/>
    <d v="2025-03-06T00:00:00"/>
    <n v="46"/>
    <n v="25934"/>
    <s v="Sakshi"/>
    <n v="1192964"/>
    <x v="4"/>
  </r>
  <r>
    <n v="1030"/>
    <x v="2"/>
    <x v="0"/>
    <x v="3"/>
    <d v="2024-03-17T00:00:00"/>
    <n v="46"/>
    <n v="13818"/>
    <s v="Carlos"/>
    <n v="635628"/>
    <x v="4"/>
  </r>
  <r>
    <n v="1026"/>
    <x v="1"/>
    <x v="1"/>
    <x v="2"/>
    <d v="2024-09-14T00:00:00"/>
    <n v="35"/>
    <n v="42271"/>
    <s v="Riya"/>
    <n v="1479485"/>
    <x v="2"/>
  </r>
  <r>
    <n v="1011"/>
    <x v="8"/>
    <x v="1"/>
    <x v="0"/>
    <d v="2023-09-17T00:00:00"/>
    <n v="23"/>
    <n v="18637"/>
    <s v="Neha"/>
    <n v="428651"/>
    <x v="2"/>
  </r>
  <r>
    <n v="1032"/>
    <x v="7"/>
    <x v="1"/>
    <x v="0"/>
    <d v="2024-12-19T00:00:00"/>
    <n v="47"/>
    <n v="12453"/>
    <s v="Fatima"/>
    <n v="585291"/>
    <x v="7"/>
  </r>
  <r>
    <n v="1002"/>
    <x v="7"/>
    <x v="1"/>
    <x v="0"/>
    <d v="2025-08-13T00:00:00"/>
    <n v="25"/>
    <n v="20463"/>
    <s v="John"/>
    <n v="511575"/>
    <x v="6"/>
  </r>
  <r>
    <n v="1010"/>
    <x v="1"/>
    <x v="1"/>
    <x v="3"/>
    <d v="2024-03-08T00:00:00"/>
    <n v="36"/>
    <n v="1831"/>
    <s v="Amit"/>
    <n v="65916"/>
    <x v="4"/>
  </r>
  <r>
    <n v="1046"/>
    <x v="1"/>
    <x v="1"/>
    <x v="3"/>
    <d v="2025-09-10T00:00:00"/>
    <n v="13"/>
    <n v="47077"/>
    <s v="Carlos"/>
    <n v="612001"/>
    <x v="2"/>
  </r>
  <r>
    <n v="1022"/>
    <x v="3"/>
    <x v="0"/>
    <x v="1"/>
    <d v="2025-05-05T00:00:00"/>
    <n v="28"/>
    <n v="49607"/>
    <s v="Fatima"/>
    <n v="1388996"/>
    <x v="9"/>
  </r>
  <r>
    <n v="1009"/>
    <x v="1"/>
    <x v="1"/>
    <x v="1"/>
    <d v="2024-09-04T00:00:00"/>
    <n v="49"/>
    <n v="36960"/>
    <s v="Riya"/>
    <n v="1811040"/>
    <x v="2"/>
  </r>
  <r>
    <n v="1030"/>
    <x v="8"/>
    <x v="0"/>
    <x v="3"/>
    <d v="2025-06-19T00:00:00"/>
    <n v="10"/>
    <n v="27462"/>
    <s v="Carlos"/>
    <n v="274620"/>
    <x v="11"/>
  </r>
  <r>
    <n v="1025"/>
    <x v="4"/>
    <x v="0"/>
    <x v="2"/>
    <d v="2023-11-22T00:00:00"/>
    <n v="13"/>
    <n v="7180"/>
    <s v="Amit"/>
    <n v="93340"/>
    <x v="0"/>
  </r>
  <r>
    <n v="1021"/>
    <x v="8"/>
    <x v="1"/>
    <x v="2"/>
    <d v="2023-11-09T00:00:00"/>
    <n v="44"/>
    <n v="49088"/>
    <s v="Fatima"/>
    <n v="2159872"/>
    <x v="0"/>
  </r>
  <r>
    <n v="1018"/>
    <x v="8"/>
    <x v="0"/>
    <x v="2"/>
    <d v="2024-07-26T00:00:00"/>
    <n v="3"/>
    <n v="49035"/>
    <s v="Carlos"/>
    <n v="147105"/>
    <x v="5"/>
  </r>
  <r>
    <n v="1020"/>
    <x v="3"/>
    <x v="0"/>
    <x v="0"/>
    <d v="2024-10-11T00:00:00"/>
    <n v="19"/>
    <n v="45677"/>
    <s v="Arjun"/>
    <n v="867863"/>
    <x v="10"/>
  </r>
  <r>
    <n v="1040"/>
    <x v="4"/>
    <x v="1"/>
    <x v="1"/>
    <d v="2025-09-24T00:00:00"/>
    <n v="18"/>
    <n v="10431"/>
    <s v="Neha"/>
    <n v="187758"/>
    <x v="2"/>
  </r>
  <r>
    <n v="1016"/>
    <x v="7"/>
    <x v="1"/>
    <x v="0"/>
    <d v="2024-11-04T00:00:00"/>
    <n v="43"/>
    <n v="15724"/>
    <s v="Carlos"/>
    <n v="676132"/>
    <x v="0"/>
  </r>
  <r>
    <n v="1049"/>
    <x v="1"/>
    <x v="0"/>
    <x v="1"/>
    <d v="2025-12-29T00:00:00"/>
    <n v="38"/>
    <n v="7333"/>
    <s v="Fatima"/>
    <n v="278654"/>
    <x v="7"/>
  </r>
  <r>
    <n v="1039"/>
    <x v="4"/>
    <x v="1"/>
    <x v="2"/>
    <d v="2024-09-28T00:00:00"/>
    <n v="46"/>
    <n v="12588"/>
    <s v="Arjun"/>
    <n v="579048"/>
    <x v="2"/>
  </r>
  <r>
    <n v="1035"/>
    <x v="0"/>
    <x v="1"/>
    <x v="2"/>
    <d v="2023-11-19T00:00:00"/>
    <n v="20"/>
    <n v="11708"/>
    <s v="Fatima"/>
    <n v="234160"/>
    <x v="0"/>
  </r>
  <r>
    <n v="1029"/>
    <x v="1"/>
    <x v="1"/>
    <x v="2"/>
    <d v="2025-10-31T00:00:00"/>
    <n v="13"/>
    <n v="43464"/>
    <s v="Riya"/>
    <n v="565032"/>
    <x v="10"/>
  </r>
  <r>
    <n v="1046"/>
    <x v="5"/>
    <x v="1"/>
    <x v="0"/>
    <d v="2025-03-02T00:00:00"/>
    <n v="2"/>
    <n v="8303"/>
    <s v="Riya"/>
    <n v="16606"/>
    <x v="4"/>
  </r>
  <r>
    <n v="1030"/>
    <x v="2"/>
    <x v="0"/>
    <x v="2"/>
    <d v="2025-01-01T00:00:00"/>
    <n v="12"/>
    <n v="10284"/>
    <s v="Amit"/>
    <n v="123408"/>
    <x v="8"/>
  </r>
  <r>
    <n v="1048"/>
    <x v="2"/>
    <x v="0"/>
    <x v="2"/>
    <d v="2023-10-18T00:00:00"/>
    <n v="7"/>
    <n v="39148"/>
    <s v="Amit"/>
    <n v="274036"/>
    <x v="10"/>
  </r>
  <r>
    <n v="1003"/>
    <x v="5"/>
    <x v="1"/>
    <x v="0"/>
    <d v="2025-05-05T00:00:00"/>
    <n v="2"/>
    <n v="48542"/>
    <s v="Amit"/>
    <n v="97084"/>
    <x v="9"/>
  </r>
  <r>
    <n v="1032"/>
    <x v="6"/>
    <x v="1"/>
    <x v="2"/>
    <d v="2024-10-27T00:00:00"/>
    <n v="21"/>
    <n v="43463"/>
    <s v="Neha"/>
    <n v="912723"/>
    <x v="10"/>
  </r>
  <r>
    <n v="1014"/>
    <x v="6"/>
    <x v="0"/>
    <x v="2"/>
    <d v="2024-02-06T00:00:00"/>
    <n v="36"/>
    <n v="25184"/>
    <s v="Amit"/>
    <n v="906624"/>
    <x v="3"/>
  </r>
  <r>
    <n v="1026"/>
    <x v="9"/>
    <x v="1"/>
    <x v="0"/>
    <d v="2023-07-14T00:00:00"/>
    <n v="38"/>
    <n v="40527"/>
    <s v="Neha"/>
    <n v="1540026"/>
    <x v="5"/>
  </r>
  <r>
    <n v="1005"/>
    <x v="3"/>
    <x v="1"/>
    <x v="3"/>
    <d v="2025-10-31T00:00:00"/>
    <n v="43"/>
    <n v="11673"/>
    <s v="Arjun"/>
    <n v="501939"/>
    <x v="10"/>
  </r>
  <r>
    <n v="1028"/>
    <x v="7"/>
    <x v="0"/>
    <x v="1"/>
    <d v="2025-01-27T00:00:00"/>
    <n v="9"/>
    <n v="30912"/>
    <s v="Neha"/>
    <n v="278208"/>
    <x v="8"/>
  </r>
  <r>
    <n v="1008"/>
    <x v="4"/>
    <x v="0"/>
    <x v="2"/>
    <d v="2025-09-19T00:00:00"/>
    <n v="48"/>
    <n v="41433"/>
    <s v="Sakshi"/>
    <n v="1988784"/>
    <x v="2"/>
  </r>
  <r>
    <n v="1045"/>
    <x v="6"/>
    <x v="0"/>
    <x v="2"/>
    <d v="2023-12-22T00:00:00"/>
    <n v="27"/>
    <n v="2995"/>
    <s v="Arjun"/>
    <n v="80865"/>
    <x v="7"/>
  </r>
  <r>
    <n v="1048"/>
    <x v="5"/>
    <x v="0"/>
    <x v="0"/>
    <d v="2024-06-03T00:00:00"/>
    <n v="11"/>
    <n v="6204"/>
    <s v="John"/>
    <n v="68244"/>
    <x v="11"/>
  </r>
  <r>
    <n v="1033"/>
    <x v="5"/>
    <x v="1"/>
    <x v="3"/>
    <d v="2024-03-30T00:00:00"/>
    <n v="25"/>
    <n v="7983"/>
    <s v="Arjun"/>
    <n v="199575"/>
    <x v="4"/>
  </r>
  <r>
    <n v="1036"/>
    <x v="3"/>
    <x v="1"/>
    <x v="0"/>
    <d v="2025-09-05T00:00:00"/>
    <n v="27"/>
    <n v="8336"/>
    <s v="Arjun"/>
    <n v="225072"/>
    <x v="2"/>
  </r>
  <r>
    <n v="1013"/>
    <x v="2"/>
    <x v="0"/>
    <x v="3"/>
    <d v="2023-08-09T00:00:00"/>
    <n v="27"/>
    <n v="18575"/>
    <s v="Arjun"/>
    <n v="501525"/>
    <x v="6"/>
  </r>
  <r>
    <n v="1020"/>
    <x v="3"/>
    <x v="0"/>
    <x v="0"/>
    <d v="2024-02-27T00:00:00"/>
    <n v="5"/>
    <n v="13602"/>
    <s v="Arjun"/>
    <n v="68010"/>
    <x v="3"/>
  </r>
  <r>
    <n v="1018"/>
    <x v="8"/>
    <x v="0"/>
    <x v="0"/>
    <d v="2025-06-20T00:00:00"/>
    <n v="17"/>
    <n v="39114"/>
    <s v="Riya"/>
    <n v="664938"/>
    <x v="11"/>
  </r>
  <r>
    <n v="1020"/>
    <x v="4"/>
    <x v="1"/>
    <x v="3"/>
    <d v="2023-05-18T00:00:00"/>
    <n v="24"/>
    <n v="10568"/>
    <s v="Arjun"/>
    <n v="253632"/>
    <x v="9"/>
  </r>
  <r>
    <n v="1043"/>
    <x v="6"/>
    <x v="0"/>
    <x v="3"/>
    <d v="2023-06-18T00:00:00"/>
    <n v="2"/>
    <n v="3348"/>
    <s v="John"/>
    <n v="6696"/>
    <x v="11"/>
  </r>
  <r>
    <n v="1033"/>
    <x v="6"/>
    <x v="1"/>
    <x v="1"/>
    <d v="2023-08-04T00:00:00"/>
    <n v="39"/>
    <n v="10827"/>
    <s v="Riya"/>
    <n v="422253"/>
    <x v="6"/>
  </r>
  <r>
    <n v="1021"/>
    <x v="1"/>
    <x v="1"/>
    <x v="0"/>
    <d v="2025-01-14T00:00:00"/>
    <n v="27"/>
    <n v="7032"/>
    <s v="Carlos"/>
    <n v="189864"/>
    <x v="8"/>
  </r>
  <r>
    <n v="1046"/>
    <x v="9"/>
    <x v="0"/>
    <x v="2"/>
    <d v="2024-08-24T00:00:00"/>
    <n v="19"/>
    <n v="36183"/>
    <s v="Riya"/>
    <n v="687477"/>
    <x v="6"/>
  </r>
  <r>
    <n v="1024"/>
    <x v="2"/>
    <x v="1"/>
    <x v="2"/>
    <d v="2025-03-29T00:00:00"/>
    <n v="47"/>
    <n v="7601"/>
    <s v="Riya"/>
    <n v="357247"/>
    <x v="4"/>
  </r>
  <r>
    <n v="1028"/>
    <x v="1"/>
    <x v="1"/>
    <x v="3"/>
    <d v="2025-12-04T00:00:00"/>
    <n v="21"/>
    <n v="19783"/>
    <s v="John"/>
    <n v="415443"/>
    <x v="7"/>
  </r>
  <r>
    <n v="1005"/>
    <x v="2"/>
    <x v="1"/>
    <x v="1"/>
    <d v="2024-08-27T00:00:00"/>
    <n v="7"/>
    <n v="47061"/>
    <s v="Riya"/>
    <n v="329427"/>
    <x v="6"/>
  </r>
  <r>
    <n v="1030"/>
    <x v="0"/>
    <x v="0"/>
    <x v="0"/>
    <d v="2023-12-06T00:00:00"/>
    <n v="14"/>
    <n v="23236"/>
    <s v="Arjun"/>
    <n v="325304"/>
    <x v="7"/>
  </r>
  <r>
    <n v="1043"/>
    <x v="5"/>
    <x v="1"/>
    <x v="1"/>
    <d v="2023-12-04T00:00:00"/>
    <n v="13"/>
    <n v="39230"/>
    <s v="Sakshi"/>
    <n v="509990"/>
    <x v="7"/>
  </r>
  <r>
    <n v="1024"/>
    <x v="0"/>
    <x v="1"/>
    <x v="3"/>
    <d v="2025-09-26T00:00:00"/>
    <n v="6"/>
    <n v="38569"/>
    <s v="John"/>
    <n v="231414"/>
    <x v="2"/>
  </r>
  <r>
    <n v="1039"/>
    <x v="1"/>
    <x v="0"/>
    <x v="3"/>
    <d v="2024-01-19T00:00:00"/>
    <n v="30"/>
    <n v="4642"/>
    <s v="Carlos"/>
    <n v="139260"/>
    <x v="8"/>
  </r>
  <r>
    <n v="1014"/>
    <x v="6"/>
    <x v="0"/>
    <x v="3"/>
    <d v="2024-07-27T00:00:00"/>
    <n v="38"/>
    <n v="48243"/>
    <s v="Arjun"/>
    <n v="1833234"/>
    <x v="5"/>
  </r>
  <r>
    <n v="1036"/>
    <x v="3"/>
    <x v="0"/>
    <x v="1"/>
    <d v="2025-10-10T00:00:00"/>
    <n v="15"/>
    <n v="49824"/>
    <s v="Amit"/>
    <n v="747360"/>
    <x v="10"/>
  </r>
  <r>
    <n v="1036"/>
    <x v="8"/>
    <x v="1"/>
    <x v="2"/>
    <d v="2023-09-05T00:00:00"/>
    <n v="24"/>
    <n v="18081"/>
    <s v="Carlos"/>
    <n v="433944"/>
    <x v="2"/>
  </r>
  <r>
    <n v="1026"/>
    <x v="4"/>
    <x v="0"/>
    <x v="2"/>
    <d v="2025-11-04T00:00:00"/>
    <n v="11"/>
    <n v="29029"/>
    <s v="Riya"/>
    <n v="319319"/>
    <x v="0"/>
  </r>
  <r>
    <n v="1013"/>
    <x v="5"/>
    <x v="1"/>
    <x v="2"/>
    <d v="2025-04-10T00:00:00"/>
    <n v="27"/>
    <n v="11890"/>
    <s v="Fatima"/>
    <n v="321030"/>
    <x v="1"/>
  </r>
  <r>
    <n v="1040"/>
    <x v="1"/>
    <x v="1"/>
    <x v="1"/>
    <d v="2025-07-13T00:00:00"/>
    <n v="32"/>
    <n v="16647"/>
    <s v="Neha"/>
    <n v="532704"/>
    <x v="5"/>
  </r>
  <r>
    <n v="1021"/>
    <x v="6"/>
    <x v="1"/>
    <x v="0"/>
    <d v="2024-09-21T00:00:00"/>
    <n v="33"/>
    <n v="17191"/>
    <s v="Sakshi"/>
    <n v="567303"/>
    <x v="2"/>
  </r>
  <r>
    <n v="1026"/>
    <x v="6"/>
    <x v="1"/>
    <x v="1"/>
    <d v="2024-08-15T00:00:00"/>
    <n v="32"/>
    <n v="38880"/>
    <s v="Fatima"/>
    <n v="1244160"/>
    <x v="6"/>
  </r>
  <r>
    <n v="1034"/>
    <x v="0"/>
    <x v="0"/>
    <x v="2"/>
    <d v="2025-01-22T00:00:00"/>
    <n v="12"/>
    <n v="39743"/>
    <s v="Amit"/>
    <n v="476916"/>
    <x v="8"/>
  </r>
  <r>
    <n v="1040"/>
    <x v="1"/>
    <x v="1"/>
    <x v="3"/>
    <d v="2023-08-27T00:00:00"/>
    <n v="39"/>
    <n v="30391"/>
    <s v="Neha"/>
    <n v="1185249"/>
    <x v="6"/>
  </r>
  <r>
    <n v="1014"/>
    <x v="4"/>
    <x v="0"/>
    <x v="3"/>
    <d v="2023-05-24T00:00:00"/>
    <n v="21"/>
    <n v="48703"/>
    <s v="Amit"/>
    <n v="1022763"/>
    <x v="9"/>
  </r>
  <r>
    <n v="1021"/>
    <x v="8"/>
    <x v="1"/>
    <x v="2"/>
    <d v="2024-04-09T00:00:00"/>
    <n v="25"/>
    <n v="48592"/>
    <s v="Amit"/>
    <n v="1214800"/>
    <x v="1"/>
  </r>
  <r>
    <n v="1043"/>
    <x v="1"/>
    <x v="0"/>
    <x v="0"/>
    <d v="2024-10-01T00:00:00"/>
    <n v="23"/>
    <n v="38239"/>
    <s v="Amit"/>
    <n v="879497"/>
    <x v="10"/>
  </r>
  <r>
    <n v="1049"/>
    <x v="9"/>
    <x v="1"/>
    <x v="3"/>
    <d v="2024-05-09T00:00:00"/>
    <n v="30"/>
    <n v="5031"/>
    <s v="Amit"/>
    <n v="150930"/>
    <x v="9"/>
  </r>
  <r>
    <n v="1047"/>
    <x v="9"/>
    <x v="0"/>
    <x v="0"/>
    <d v="2025-10-03T00:00:00"/>
    <n v="18"/>
    <n v="46595"/>
    <s v="Amit"/>
    <n v="838710"/>
    <x v="10"/>
  </r>
  <r>
    <n v="1019"/>
    <x v="3"/>
    <x v="1"/>
    <x v="3"/>
    <d v="2025-01-21T00:00:00"/>
    <n v="26"/>
    <n v="8867"/>
    <s v="Carlos"/>
    <n v="230542"/>
    <x v="8"/>
  </r>
  <r>
    <n v="1012"/>
    <x v="9"/>
    <x v="1"/>
    <x v="2"/>
    <d v="2025-06-04T00:00:00"/>
    <n v="20"/>
    <n v="38538"/>
    <s v="Amit"/>
    <n v="770760"/>
    <x v="11"/>
  </r>
  <r>
    <n v="1036"/>
    <x v="9"/>
    <x v="0"/>
    <x v="1"/>
    <d v="2024-05-31T00:00:00"/>
    <n v="41"/>
    <n v="27893"/>
    <s v="Riya"/>
    <n v="1143613"/>
    <x v="9"/>
  </r>
  <r>
    <n v="1030"/>
    <x v="2"/>
    <x v="1"/>
    <x v="1"/>
    <d v="2023-05-30T00:00:00"/>
    <n v="35"/>
    <n v="23353"/>
    <s v="Sakshi"/>
    <n v="817355"/>
    <x v="9"/>
  </r>
  <r>
    <n v="1044"/>
    <x v="1"/>
    <x v="0"/>
    <x v="0"/>
    <d v="2024-06-28T00:00:00"/>
    <n v="47"/>
    <n v="5513"/>
    <s v="Neha"/>
    <n v="259111"/>
    <x v="11"/>
  </r>
  <r>
    <n v="1033"/>
    <x v="5"/>
    <x v="0"/>
    <x v="2"/>
    <d v="2023-04-17T00:00:00"/>
    <n v="13"/>
    <n v="16721"/>
    <s v="Carlos"/>
    <n v="217373"/>
    <x v="1"/>
  </r>
  <r>
    <n v="1044"/>
    <x v="9"/>
    <x v="1"/>
    <x v="3"/>
    <d v="2023-12-26T00:00:00"/>
    <n v="42"/>
    <n v="24242"/>
    <s v="Carlos"/>
    <n v="1018164"/>
    <x v="7"/>
  </r>
  <r>
    <n v="1023"/>
    <x v="2"/>
    <x v="0"/>
    <x v="0"/>
    <d v="2025-02-08T00:00:00"/>
    <n v="3"/>
    <n v="33770"/>
    <s v="Fatima"/>
    <n v="101310"/>
    <x v="3"/>
  </r>
  <r>
    <n v="1041"/>
    <x v="7"/>
    <x v="1"/>
    <x v="2"/>
    <d v="2024-05-03T00:00:00"/>
    <n v="33"/>
    <n v="10853"/>
    <s v="Neha"/>
    <n v="358149"/>
    <x v="9"/>
  </r>
  <r>
    <n v="1013"/>
    <x v="3"/>
    <x v="0"/>
    <x v="1"/>
    <d v="2025-07-02T00:00:00"/>
    <n v="42"/>
    <n v="19855"/>
    <s v="Fatima"/>
    <n v="833910"/>
    <x v="5"/>
  </r>
  <r>
    <n v="1028"/>
    <x v="3"/>
    <x v="0"/>
    <x v="1"/>
    <d v="2025-03-01T00:00:00"/>
    <n v="42"/>
    <n v="15370"/>
    <s v="Fatima"/>
    <n v="645540"/>
    <x v="4"/>
  </r>
  <r>
    <n v="1028"/>
    <x v="5"/>
    <x v="1"/>
    <x v="1"/>
    <d v="2023-02-23T00:00:00"/>
    <n v="44"/>
    <n v="47093"/>
    <s v="Amit"/>
    <n v="2072092"/>
    <x v="3"/>
  </r>
  <r>
    <n v="1019"/>
    <x v="7"/>
    <x v="1"/>
    <x v="0"/>
    <d v="2023-11-27T00:00:00"/>
    <n v="2"/>
    <n v="41412"/>
    <s v="Amit"/>
    <n v="82824"/>
    <x v="0"/>
  </r>
  <r>
    <n v="1037"/>
    <x v="6"/>
    <x v="0"/>
    <x v="1"/>
    <d v="2024-05-10T00:00:00"/>
    <n v="22"/>
    <n v="5118"/>
    <s v="Riya"/>
    <n v="112596"/>
    <x v="9"/>
  </r>
  <r>
    <n v="1031"/>
    <x v="0"/>
    <x v="1"/>
    <x v="0"/>
    <d v="2025-06-15T00:00:00"/>
    <n v="41"/>
    <n v="8616"/>
    <s v="Riya"/>
    <n v="353256"/>
    <x v="11"/>
  </r>
  <r>
    <n v="1042"/>
    <x v="1"/>
    <x v="0"/>
    <x v="3"/>
    <d v="2025-05-31T00:00:00"/>
    <n v="4"/>
    <n v="4274"/>
    <s v="Carlos"/>
    <n v="17096"/>
    <x v="9"/>
  </r>
  <r>
    <n v="1039"/>
    <x v="1"/>
    <x v="1"/>
    <x v="1"/>
    <d v="2023-12-17T00:00:00"/>
    <n v="40"/>
    <n v="4058"/>
    <s v="Fatima"/>
    <n v="162320"/>
    <x v="7"/>
  </r>
  <r>
    <n v="1017"/>
    <x v="1"/>
    <x v="1"/>
    <x v="1"/>
    <d v="2024-08-06T00:00:00"/>
    <n v="39"/>
    <n v="39661"/>
    <s v="Riya"/>
    <n v="1546779"/>
    <x v="6"/>
  </r>
  <r>
    <n v="1028"/>
    <x v="4"/>
    <x v="1"/>
    <x v="1"/>
    <d v="2025-11-29T00:00:00"/>
    <n v="29"/>
    <n v="2714"/>
    <s v="Amit"/>
    <n v="78706"/>
    <x v="0"/>
  </r>
  <r>
    <n v="1004"/>
    <x v="4"/>
    <x v="0"/>
    <x v="1"/>
    <d v="2025-06-05T00:00:00"/>
    <n v="30"/>
    <n v="18822"/>
    <s v="Carlos"/>
    <n v="564660"/>
    <x v="11"/>
  </r>
  <r>
    <n v="1006"/>
    <x v="7"/>
    <x v="1"/>
    <x v="3"/>
    <d v="2025-11-19T00:00:00"/>
    <n v="47"/>
    <n v="46069"/>
    <s v="Fatima"/>
    <n v="2165243"/>
    <x v="0"/>
  </r>
  <r>
    <n v="1019"/>
    <x v="1"/>
    <x v="0"/>
    <x v="0"/>
    <d v="2025-11-09T00:00:00"/>
    <n v="14"/>
    <n v="43166"/>
    <s v="Sakshi"/>
    <n v="604324"/>
    <x v="0"/>
  </r>
  <r>
    <n v="1023"/>
    <x v="9"/>
    <x v="1"/>
    <x v="3"/>
    <d v="2023-10-21T00:00:00"/>
    <n v="2"/>
    <n v="39954"/>
    <s v="Riya"/>
    <n v="79908"/>
    <x v="10"/>
  </r>
  <r>
    <n v="1040"/>
    <x v="3"/>
    <x v="1"/>
    <x v="2"/>
    <d v="2023-01-02T00:00:00"/>
    <n v="16"/>
    <n v="2990"/>
    <s v="Sakshi"/>
    <n v="47840"/>
    <x v="8"/>
  </r>
  <r>
    <n v="1045"/>
    <x v="9"/>
    <x v="0"/>
    <x v="3"/>
    <d v="2023-05-14T00:00:00"/>
    <n v="12"/>
    <n v="3995"/>
    <s v="Riya"/>
    <n v="47940"/>
    <x v="9"/>
  </r>
  <r>
    <n v="1042"/>
    <x v="0"/>
    <x v="0"/>
    <x v="0"/>
    <d v="2023-12-28T00:00:00"/>
    <n v="41"/>
    <n v="17843"/>
    <s v="John"/>
    <n v="731563"/>
    <x v="7"/>
  </r>
  <r>
    <n v="1006"/>
    <x v="8"/>
    <x v="0"/>
    <x v="2"/>
    <d v="2024-08-12T00:00:00"/>
    <n v="39"/>
    <n v="35198"/>
    <s v="Neha"/>
    <n v="1372722"/>
    <x v="6"/>
  </r>
  <r>
    <n v="1024"/>
    <x v="5"/>
    <x v="1"/>
    <x v="1"/>
    <d v="2023-01-26T00:00:00"/>
    <n v="43"/>
    <n v="23117"/>
    <s v="Sakshi"/>
    <n v="994031"/>
    <x v="8"/>
  </r>
  <r>
    <n v="1022"/>
    <x v="5"/>
    <x v="0"/>
    <x v="1"/>
    <d v="2024-09-01T00:00:00"/>
    <n v="38"/>
    <n v="43264"/>
    <s v="Amit"/>
    <n v="1644032"/>
    <x v="2"/>
  </r>
  <r>
    <n v="1021"/>
    <x v="5"/>
    <x v="0"/>
    <x v="1"/>
    <d v="2024-09-21T00:00:00"/>
    <n v="46"/>
    <n v="27344"/>
    <s v="Riya"/>
    <n v="1257824"/>
    <x v="2"/>
  </r>
  <r>
    <n v="1014"/>
    <x v="3"/>
    <x v="0"/>
    <x v="2"/>
    <d v="2024-04-22T00:00:00"/>
    <n v="31"/>
    <n v="43363"/>
    <s v="John"/>
    <n v="1344253"/>
    <x v="1"/>
  </r>
  <r>
    <n v="1024"/>
    <x v="7"/>
    <x v="1"/>
    <x v="0"/>
    <d v="2024-03-30T00:00:00"/>
    <n v="45"/>
    <n v="42930"/>
    <s v="Riya"/>
    <n v="1931850"/>
    <x v="4"/>
  </r>
  <r>
    <n v="1025"/>
    <x v="2"/>
    <x v="1"/>
    <x v="2"/>
    <d v="2024-03-18T00:00:00"/>
    <n v="41"/>
    <n v="18315"/>
    <s v="Carlos"/>
    <n v="750915"/>
    <x v="4"/>
  </r>
  <r>
    <n v="1017"/>
    <x v="4"/>
    <x v="1"/>
    <x v="1"/>
    <d v="2024-08-16T00:00:00"/>
    <n v="32"/>
    <n v="15729"/>
    <s v="Arjun"/>
    <n v="503328"/>
    <x v="6"/>
  </r>
  <r>
    <n v="1046"/>
    <x v="0"/>
    <x v="1"/>
    <x v="1"/>
    <d v="2024-02-10T00:00:00"/>
    <n v="33"/>
    <n v="28258"/>
    <s v="Neha"/>
    <n v="932514"/>
    <x v="3"/>
  </r>
  <r>
    <n v="1035"/>
    <x v="9"/>
    <x v="1"/>
    <x v="1"/>
    <d v="2024-03-15T00:00:00"/>
    <n v="14"/>
    <n v="30629"/>
    <s v="Fatima"/>
    <n v="428806"/>
    <x v="4"/>
  </r>
  <r>
    <n v="1017"/>
    <x v="9"/>
    <x v="1"/>
    <x v="2"/>
    <d v="2024-04-09T00:00:00"/>
    <n v="12"/>
    <n v="24922"/>
    <s v="John"/>
    <n v="299064"/>
    <x v="1"/>
  </r>
  <r>
    <n v="1028"/>
    <x v="9"/>
    <x v="1"/>
    <x v="2"/>
    <d v="2025-11-02T00:00:00"/>
    <n v="45"/>
    <n v="13440"/>
    <s v="Neha"/>
    <n v="604800"/>
    <x v="0"/>
  </r>
  <r>
    <n v="1002"/>
    <x v="5"/>
    <x v="0"/>
    <x v="0"/>
    <d v="2023-04-03T00:00:00"/>
    <n v="18"/>
    <n v="4550"/>
    <s v="Neha"/>
    <n v="81900"/>
    <x v="1"/>
  </r>
  <r>
    <n v="1034"/>
    <x v="2"/>
    <x v="0"/>
    <x v="1"/>
    <d v="2024-09-10T00:00:00"/>
    <n v="35"/>
    <n v="23721"/>
    <s v="John"/>
    <n v="830235"/>
    <x v="2"/>
  </r>
  <r>
    <n v="1001"/>
    <x v="0"/>
    <x v="0"/>
    <x v="2"/>
    <d v="2023-06-15T00:00:00"/>
    <n v="9"/>
    <n v="44786"/>
    <s v="Neha"/>
    <n v="403074"/>
    <x v="11"/>
  </r>
  <r>
    <n v="1047"/>
    <x v="0"/>
    <x v="1"/>
    <x v="2"/>
    <d v="2023-01-15T00:00:00"/>
    <n v="26"/>
    <n v="26346"/>
    <s v="John"/>
    <n v="684996"/>
    <x v="8"/>
  </r>
  <r>
    <n v="1003"/>
    <x v="8"/>
    <x v="1"/>
    <x v="3"/>
    <d v="2024-09-17T00:00:00"/>
    <n v="12"/>
    <n v="11865"/>
    <s v="Arjun"/>
    <n v="142380"/>
    <x v="2"/>
  </r>
  <r>
    <n v="1022"/>
    <x v="9"/>
    <x v="1"/>
    <x v="1"/>
    <d v="2024-10-02T00:00:00"/>
    <n v="11"/>
    <n v="27416"/>
    <s v="John"/>
    <n v="301576"/>
    <x v="10"/>
  </r>
  <r>
    <n v="1042"/>
    <x v="6"/>
    <x v="0"/>
    <x v="1"/>
    <d v="2024-04-25T00:00:00"/>
    <n v="5"/>
    <n v="10401"/>
    <s v="Carlos"/>
    <n v="52005"/>
    <x v="1"/>
  </r>
  <r>
    <n v="1004"/>
    <x v="9"/>
    <x v="1"/>
    <x v="2"/>
    <d v="2025-11-27T00:00:00"/>
    <n v="8"/>
    <n v="40362"/>
    <s v="Riya"/>
    <n v="322896"/>
    <x v="0"/>
  </r>
  <r>
    <n v="1015"/>
    <x v="6"/>
    <x v="1"/>
    <x v="3"/>
    <d v="2025-08-01T00:00:00"/>
    <n v="33"/>
    <n v="24645"/>
    <s v="Arjun"/>
    <n v="813285"/>
    <x v="6"/>
  </r>
  <r>
    <n v="1036"/>
    <x v="3"/>
    <x v="0"/>
    <x v="1"/>
    <d v="2025-12-22T00:00:00"/>
    <n v="41"/>
    <n v="1330"/>
    <s v="Fatima"/>
    <n v="54530"/>
    <x v="7"/>
  </r>
  <r>
    <n v="1039"/>
    <x v="9"/>
    <x v="1"/>
    <x v="1"/>
    <d v="2024-03-21T00:00:00"/>
    <n v="13"/>
    <n v="45150"/>
    <s v="Neha"/>
    <n v="586950"/>
    <x v="4"/>
  </r>
  <r>
    <n v="1012"/>
    <x v="0"/>
    <x v="0"/>
    <x v="1"/>
    <d v="2024-06-10T00:00:00"/>
    <n v="9"/>
    <n v="36866"/>
    <s v="Riya"/>
    <n v="331794"/>
    <x v="11"/>
  </r>
  <r>
    <n v="1037"/>
    <x v="5"/>
    <x v="1"/>
    <x v="2"/>
    <d v="2025-12-21T00:00:00"/>
    <n v="42"/>
    <n v="9152"/>
    <s v="Arjun"/>
    <n v="384384"/>
    <x v="7"/>
  </r>
  <r>
    <n v="1048"/>
    <x v="2"/>
    <x v="0"/>
    <x v="2"/>
    <d v="2025-06-11T00:00:00"/>
    <n v="36"/>
    <n v="7799"/>
    <s v="John"/>
    <n v="280764"/>
    <x v="11"/>
  </r>
  <r>
    <n v="1041"/>
    <x v="3"/>
    <x v="1"/>
    <x v="0"/>
    <d v="2023-12-28T00:00:00"/>
    <n v="9"/>
    <n v="14710"/>
    <s v="Arjun"/>
    <n v="132390"/>
    <x v="7"/>
  </r>
  <r>
    <n v="1007"/>
    <x v="4"/>
    <x v="0"/>
    <x v="0"/>
    <d v="2024-07-03T00:00:00"/>
    <n v="46"/>
    <n v="14240"/>
    <s v="Fatima"/>
    <n v="655040"/>
    <x v="5"/>
  </r>
  <r>
    <n v="1031"/>
    <x v="8"/>
    <x v="1"/>
    <x v="1"/>
    <d v="2023-08-11T00:00:00"/>
    <n v="26"/>
    <n v="48775"/>
    <s v="Carlos"/>
    <n v="1268150"/>
    <x v="6"/>
  </r>
  <r>
    <n v="1005"/>
    <x v="9"/>
    <x v="1"/>
    <x v="3"/>
    <d v="2024-03-18T00:00:00"/>
    <n v="48"/>
    <n v="43622"/>
    <s v="Amit"/>
    <n v="2093856"/>
    <x v="4"/>
  </r>
  <r>
    <n v="1027"/>
    <x v="0"/>
    <x v="0"/>
    <x v="1"/>
    <d v="2025-10-27T00:00:00"/>
    <n v="43"/>
    <n v="8332"/>
    <s v="John"/>
    <n v="358276"/>
    <x v="10"/>
  </r>
  <r>
    <n v="1025"/>
    <x v="8"/>
    <x v="1"/>
    <x v="3"/>
    <d v="2025-04-25T00:00:00"/>
    <n v="20"/>
    <n v="7287"/>
    <s v="John"/>
    <n v="145740"/>
    <x v="1"/>
  </r>
  <r>
    <n v="1017"/>
    <x v="3"/>
    <x v="0"/>
    <x v="2"/>
    <d v="2023-08-30T00:00:00"/>
    <n v="28"/>
    <n v="18759"/>
    <s v="Riya"/>
    <n v="525252"/>
    <x v="6"/>
  </r>
  <r>
    <n v="1028"/>
    <x v="3"/>
    <x v="0"/>
    <x v="0"/>
    <d v="2024-07-17T00:00:00"/>
    <n v="24"/>
    <n v="17994"/>
    <s v="Amit"/>
    <n v="431856"/>
    <x v="5"/>
  </r>
  <r>
    <n v="1027"/>
    <x v="9"/>
    <x v="1"/>
    <x v="2"/>
    <d v="2023-11-30T00:00:00"/>
    <n v="1"/>
    <n v="16476"/>
    <s v="Neha"/>
    <n v="16476"/>
    <x v="0"/>
  </r>
  <r>
    <n v="1026"/>
    <x v="4"/>
    <x v="0"/>
    <x v="3"/>
    <d v="2024-08-29T00:00:00"/>
    <n v="25"/>
    <n v="46499"/>
    <s v="Sakshi"/>
    <n v="1162475"/>
    <x v="6"/>
  </r>
  <r>
    <n v="1049"/>
    <x v="8"/>
    <x v="1"/>
    <x v="3"/>
    <d v="2023-06-15T00:00:00"/>
    <n v="46"/>
    <n v="34605"/>
    <s v="John"/>
    <n v="1591830"/>
    <x v="11"/>
  </r>
  <r>
    <n v="1029"/>
    <x v="6"/>
    <x v="1"/>
    <x v="0"/>
    <d v="2025-05-01T00:00:00"/>
    <n v="11"/>
    <n v="11760"/>
    <s v="John"/>
    <n v="129360"/>
    <x v="9"/>
  </r>
  <r>
    <n v="1027"/>
    <x v="5"/>
    <x v="1"/>
    <x v="2"/>
    <d v="2024-05-29T00:00:00"/>
    <n v="5"/>
    <n v="9494"/>
    <s v="Amit"/>
    <n v="47470"/>
    <x v="9"/>
  </r>
  <r>
    <n v="1017"/>
    <x v="2"/>
    <x v="1"/>
    <x v="1"/>
    <d v="2025-05-09T00:00:00"/>
    <n v="14"/>
    <n v="32641"/>
    <s v="Sakshi"/>
    <n v="456974"/>
    <x v="9"/>
  </r>
  <r>
    <n v="1038"/>
    <x v="0"/>
    <x v="1"/>
    <x v="2"/>
    <d v="2025-09-13T00:00:00"/>
    <n v="18"/>
    <n v="11541"/>
    <s v="Carlos"/>
    <n v="207738"/>
    <x v="2"/>
  </r>
  <r>
    <n v="1016"/>
    <x v="2"/>
    <x v="1"/>
    <x v="3"/>
    <d v="2024-01-02T00:00:00"/>
    <n v="21"/>
    <n v="11169"/>
    <s v="Sakshi"/>
    <n v="234549"/>
    <x v="8"/>
  </r>
  <r>
    <n v="1009"/>
    <x v="3"/>
    <x v="1"/>
    <x v="2"/>
    <d v="2024-11-03T00:00:00"/>
    <n v="37"/>
    <n v="28543"/>
    <s v="Carlos"/>
    <n v="1056091"/>
    <x v="0"/>
  </r>
  <r>
    <n v="1032"/>
    <x v="2"/>
    <x v="1"/>
    <x v="0"/>
    <d v="2025-08-09T00:00:00"/>
    <n v="48"/>
    <n v="37283"/>
    <s v="Fatima"/>
    <n v="1789584"/>
    <x v="6"/>
  </r>
  <r>
    <n v="1001"/>
    <x v="8"/>
    <x v="1"/>
    <x v="2"/>
    <d v="2024-01-13T00:00:00"/>
    <n v="46"/>
    <n v="34765"/>
    <s v="John"/>
    <n v="1599190"/>
    <x v="8"/>
  </r>
  <r>
    <n v="1009"/>
    <x v="3"/>
    <x v="0"/>
    <x v="2"/>
    <d v="2025-02-10T00:00:00"/>
    <n v="49"/>
    <n v="15810"/>
    <s v="Neha"/>
    <n v="774690"/>
    <x v="3"/>
  </r>
  <r>
    <n v="1007"/>
    <x v="2"/>
    <x v="0"/>
    <x v="3"/>
    <d v="2025-05-30T00:00:00"/>
    <n v="5"/>
    <n v="38522"/>
    <s v="Arjun"/>
    <n v="192610"/>
    <x v="9"/>
  </r>
  <r>
    <n v="1044"/>
    <x v="7"/>
    <x v="0"/>
    <x v="1"/>
    <d v="2023-04-22T00:00:00"/>
    <n v="14"/>
    <n v="45298"/>
    <s v="Fatima"/>
    <n v="634172"/>
    <x v="1"/>
  </r>
  <r>
    <n v="1037"/>
    <x v="8"/>
    <x v="0"/>
    <x v="1"/>
    <d v="2023-06-08T00:00:00"/>
    <n v="35"/>
    <n v="21943"/>
    <s v="Carlos"/>
    <n v="768005"/>
    <x v="11"/>
  </r>
  <r>
    <n v="1040"/>
    <x v="0"/>
    <x v="1"/>
    <x v="0"/>
    <d v="2024-11-30T00:00:00"/>
    <n v="9"/>
    <n v="23215"/>
    <s v="Arjun"/>
    <n v="208935"/>
    <x v="0"/>
  </r>
  <r>
    <n v="1045"/>
    <x v="8"/>
    <x v="0"/>
    <x v="0"/>
    <d v="2025-05-02T00:00:00"/>
    <n v="11"/>
    <n v="29296"/>
    <s v="Carlos"/>
    <n v="322256"/>
    <x v="9"/>
  </r>
  <r>
    <n v="1006"/>
    <x v="7"/>
    <x v="0"/>
    <x v="2"/>
    <d v="2025-03-10T00:00:00"/>
    <n v="4"/>
    <n v="42469"/>
    <s v="Riya"/>
    <n v="169876"/>
    <x v="4"/>
  </r>
  <r>
    <n v="1037"/>
    <x v="2"/>
    <x v="0"/>
    <x v="1"/>
    <d v="2023-03-12T00:00:00"/>
    <n v="8"/>
    <n v="1712"/>
    <s v="Carlos"/>
    <n v="13696"/>
    <x v="4"/>
  </r>
  <r>
    <n v="1039"/>
    <x v="1"/>
    <x v="0"/>
    <x v="0"/>
    <d v="2024-08-12T00:00:00"/>
    <n v="37"/>
    <n v="38679"/>
    <s v="Carlos"/>
    <n v="1431123"/>
    <x v="6"/>
  </r>
  <r>
    <n v="1004"/>
    <x v="8"/>
    <x v="0"/>
    <x v="1"/>
    <d v="2023-09-06T00:00:00"/>
    <n v="28"/>
    <n v="9549"/>
    <s v="Riya"/>
    <n v="267372"/>
    <x v="2"/>
  </r>
  <r>
    <n v="1049"/>
    <x v="2"/>
    <x v="0"/>
    <x v="3"/>
    <d v="2025-11-17T00:00:00"/>
    <n v="14"/>
    <n v="25488"/>
    <s v="Amit"/>
    <n v="356832"/>
    <x v="0"/>
  </r>
  <r>
    <n v="1037"/>
    <x v="0"/>
    <x v="0"/>
    <x v="0"/>
    <d v="2023-01-17T00:00:00"/>
    <n v="45"/>
    <n v="20233"/>
    <s v="Neha"/>
    <n v="910485"/>
    <x v="8"/>
  </r>
  <r>
    <n v="1010"/>
    <x v="5"/>
    <x v="0"/>
    <x v="1"/>
    <d v="2025-06-16T00:00:00"/>
    <n v="2"/>
    <n v="22281"/>
    <s v="Fatima"/>
    <n v="44562"/>
    <x v="11"/>
  </r>
  <r>
    <n v="1010"/>
    <x v="0"/>
    <x v="1"/>
    <x v="1"/>
    <d v="2023-10-21T00:00:00"/>
    <n v="29"/>
    <n v="43035"/>
    <s v="Arjun"/>
    <n v="1248015"/>
    <x v="10"/>
  </r>
  <r>
    <n v="1049"/>
    <x v="4"/>
    <x v="0"/>
    <x v="1"/>
    <d v="2025-05-30T00:00:00"/>
    <n v="20"/>
    <n v="6984"/>
    <s v="Riya"/>
    <n v="139680"/>
    <x v="9"/>
  </r>
  <r>
    <n v="1035"/>
    <x v="5"/>
    <x v="0"/>
    <x v="3"/>
    <d v="2023-07-11T00:00:00"/>
    <n v="38"/>
    <n v="6930"/>
    <s v="John"/>
    <n v="263340"/>
    <x v="5"/>
  </r>
  <r>
    <n v="1008"/>
    <x v="2"/>
    <x v="1"/>
    <x v="2"/>
    <d v="2025-06-07T00:00:00"/>
    <n v="45"/>
    <n v="29664"/>
    <s v="Carlos"/>
    <n v="1334880"/>
    <x v="11"/>
  </r>
  <r>
    <n v="1023"/>
    <x v="5"/>
    <x v="1"/>
    <x v="0"/>
    <d v="2023-03-31T00:00:00"/>
    <n v="6"/>
    <n v="17718"/>
    <s v="Sakshi"/>
    <n v="106308"/>
    <x v="4"/>
  </r>
  <r>
    <n v="1049"/>
    <x v="9"/>
    <x v="1"/>
    <x v="1"/>
    <d v="2025-04-17T00:00:00"/>
    <n v="12"/>
    <n v="48467"/>
    <s v="Carlos"/>
    <n v="581604"/>
    <x v="1"/>
  </r>
  <r>
    <n v="1007"/>
    <x v="0"/>
    <x v="0"/>
    <x v="1"/>
    <d v="2023-04-24T00:00:00"/>
    <n v="47"/>
    <n v="7735"/>
    <s v="Fatima"/>
    <n v="363545"/>
    <x v="1"/>
  </r>
  <r>
    <n v="1002"/>
    <x v="4"/>
    <x v="1"/>
    <x v="0"/>
    <d v="2024-02-03T00:00:00"/>
    <n v="16"/>
    <n v="27305"/>
    <s v="John"/>
    <n v="436880"/>
    <x v="3"/>
  </r>
  <r>
    <n v="1038"/>
    <x v="2"/>
    <x v="0"/>
    <x v="0"/>
    <d v="2023-03-31T00:00:00"/>
    <n v="46"/>
    <n v="41999"/>
    <s v="Sakshi"/>
    <n v="1931954"/>
    <x v="4"/>
  </r>
  <r>
    <n v="1020"/>
    <x v="5"/>
    <x v="0"/>
    <x v="3"/>
    <d v="2025-03-07T00:00:00"/>
    <n v="2"/>
    <n v="29884"/>
    <s v="Riya"/>
    <n v="59768"/>
    <x v="4"/>
  </r>
  <r>
    <n v="1031"/>
    <x v="3"/>
    <x v="0"/>
    <x v="2"/>
    <d v="2024-07-31T00:00:00"/>
    <n v="40"/>
    <n v="27577"/>
    <s v="Neha"/>
    <n v="1103080"/>
    <x v="5"/>
  </r>
  <r>
    <n v="1030"/>
    <x v="2"/>
    <x v="0"/>
    <x v="1"/>
    <d v="2024-06-24T00:00:00"/>
    <n v="5"/>
    <n v="6619"/>
    <s v="Fatima"/>
    <n v="33095"/>
    <x v="11"/>
  </r>
  <r>
    <n v="1048"/>
    <x v="1"/>
    <x v="0"/>
    <x v="0"/>
    <d v="2025-10-29T00:00:00"/>
    <n v="47"/>
    <n v="37896"/>
    <s v="Fatima"/>
    <n v="1781112"/>
    <x v="10"/>
  </r>
  <r>
    <n v="1025"/>
    <x v="3"/>
    <x v="1"/>
    <x v="2"/>
    <d v="2025-03-19T00:00:00"/>
    <n v="20"/>
    <n v="33576"/>
    <s v="Fatima"/>
    <n v="671520"/>
    <x v="4"/>
  </r>
  <r>
    <n v="1010"/>
    <x v="3"/>
    <x v="0"/>
    <x v="2"/>
    <d v="2025-11-10T00:00:00"/>
    <n v="12"/>
    <n v="24539"/>
    <s v="Amit"/>
    <n v="294468"/>
    <x v="0"/>
  </r>
  <r>
    <n v="1017"/>
    <x v="8"/>
    <x v="0"/>
    <x v="2"/>
    <d v="2024-03-14T00:00:00"/>
    <n v="48"/>
    <n v="31708"/>
    <s v="Carlos"/>
    <n v="1521984"/>
    <x v="4"/>
  </r>
  <r>
    <n v="1009"/>
    <x v="5"/>
    <x v="1"/>
    <x v="2"/>
    <d v="2024-08-30T00:00:00"/>
    <n v="16"/>
    <n v="41583"/>
    <s v="Neha"/>
    <n v="665328"/>
    <x v="6"/>
  </r>
  <r>
    <n v="1043"/>
    <x v="7"/>
    <x v="1"/>
    <x v="1"/>
    <d v="2025-01-17T00:00:00"/>
    <n v="30"/>
    <n v="48743"/>
    <s v="Amit"/>
    <n v="1462290"/>
    <x v="8"/>
  </r>
  <r>
    <n v="1032"/>
    <x v="0"/>
    <x v="1"/>
    <x v="2"/>
    <d v="2024-07-05T00:00:00"/>
    <n v="20"/>
    <n v="17187"/>
    <s v="Sakshi"/>
    <n v="343740"/>
    <x v="5"/>
  </r>
  <r>
    <n v="1024"/>
    <x v="0"/>
    <x v="1"/>
    <x v="1"/>
    <d v="2023-10-09T00:00:00"/>
    <n v="21"/>
    <n v="45179"/>
    <s v="Fatima"/>
    <n v="948759"/>
    <x v="10"/>
  </r>
  <r>
    <n v="1016"/>
    <x v="2"/>
    <x v="1"/>
    <x v="0"/>
    <d v="2024-11-18T00:00:00"/>
    <n v="6"/>
    <n v="37121"/>
    <s v="Riya"/>
    <n v="222726"/>
    <x v="0"/>
  </r>
  <r>
    <n v="1046"/>
    <x v="3"/>
    <x v="0"/>
    <x v="1"/>
    <d v="2023-05-06T00:00:00"/>
    <n v="9"/>
    <n v="1595"/>
    <s v="Sakshi"/>
    <n v="14355"/>
    <x v="9"/>
  </r>
  <r>
    <n v="1012"/>
    <x v="4"/>
    <x v="0"/>
    <x v="2"/>
    <d v="2024-12-17T00:00:00"/>
    <n v="3"/>
    <n v="14486"/>
    <s v="John"/>
    <n v="43458"/>
    <x v="7"/>
  </r>
  <r>
    <n v="1035"/>
    <x v="9"/>
    <x v="0"/>
    <x v="0"/>
    <d v="2024-06-28T00:00:00"/>
    <n v="20"/>
    <n v="17991"/>
    <s v="Carlos"/>
    <n v="359820"/>
    <x v="11"/>
  </r>
  <r>
    <n v="1043"/>
    <x v="8"/>
    <x v="0"/>
    <x v="1"/>
    <d v="2025-05-19T00:00:00"/>
    <n v="48"/>
    <n v="46574"/>
    <s v="Amit"/>
    <n v="2235552"/>
    <x v="9"/>
  </r>
  <r>
    <n v="1047"/>
    <x v="0"/>
    <x v="1"/>
    <x v="1"/>
    <d v="2024-12-04T00:00:00"/>
    <n v="33"/>
    <n v="36085"/>
    <s v="Riya"/>
    <n v="1190805"/>
    <x v="7"/>
  </r>
  <r>
    <n v="1046"/>
    <x v="5"/>
    <x v="0"/>
    <x v="0"/>
    <d v="2024-12-31T00:00:00"/>
    <n v="37"/>
    <n v="14895"/>
    <s v="John"/>
    <n v="551115"/>
    <x v="7"/>
  </r>
  <r>
    <n v="1017"/>
    <x v="0"/>
    <x v="1"/>
    <x v="1"/>
    <d v="2023-08-20T00:00:00"/>
    <n v="17"/>
    <n v="19139"/>
    <s v="Carlos"/>
    <n v="325363"/>
    <x v="6"/>
  </r>
  <r>
    <n v="1029"/>
    <x v="8"/>
    <x v="0"/>
    <x v="3"/>
    <d v="2025-07-04T00:00:00"/>
    <n v="48"/>
    <n v="10745"/>
    <s v="Sakshi"/>
    <n v="515760"/>
    <x v="5"/>
  </r>
  <r>
    <n v="1036"/>
    <x v="9"/>
    <x v="1"/>
    <x v="2"/>
    <d v="2024-10-31T00:00:00"/>
    <n v="41"/>
    <n v="8942"/>
    <s v="Amit"/>
    <n v="366622"/>
    <x v="10"/>
  </r>
  <r>
    <n v="1035"/>
    <x v="7"/>
    <x v="0"/>
    <x v="0"/>
    <d v="2025-03-01T00:00:00"/>
    <n v="49"/>
    <n v="47167"/>
    <s v="Neha"/>
    <n v="2311183"/>
    <x v="4"/>
  </r>
  <r>
    <n v="1004"/>
    <x v="2"/>
    <x v="1"/>
    <x v="2"/>
    <d v="2025-12-09T00:00:00"/>
    <n v="15"/>
    <n v="44161"/>
    <s v="Riya"/>
    <n v="662415"/>
    <x v="7"/>
  </r>
  <r>
    <n v="1007"/>
    <x v="1"/>
    <x v="0"/>
    <x v="3"/>
    <d v="2024-05-24T00:00:00"/>
    <n v="19"/>
    <n v="42466"/>
    <s v="John"/>
    <n v="806854"/>
    <x v="9"/>
  </r>
  <r>
    <n v="1019"/>
    <x v="1"/>
    <x v="1"/>
    <x v="0"/>
    <d v="2024-02-07T00:00:00"/>
    <n v="13"/>
    <n v="36735"/>
    <s v="Sakshi"/>
    <n v="477555"/>
    <x v="3"/>
  </r>
  <r>
    <n v="1047"/>
    <x v="7"/>
    <x v="0"/>
    <x v="2"/>
    <d v="2024-02-24T00:00:00"/>
    <n v="23"/>
    <n v="23093"/>
    <s v="Neha"/>
    <n v="531139"/>
    <x v="3"/>
  </r>
  <r>
    <n v="1028"/>
    <x v="6"/>
    <x v="1"/>
    <x v="1"/>
    <d v="2025-07-11T00:00:00"/>
    <n v="44"/>
    <n v="11745"/>
    <s v="Amit"/>
    <n v="516780"/>
    <x v="5"/>
  </r>
  <r>
    <n v="1041"/>
    <x v="1"/>
    <x v="1"/>
    <x v="3"/>
    <d v="2025-01-15T00:00:00"/>
    <n v="24"/>
    <n v="25541"/>
    <s v="Arjun"/>
    <n v="612984"/>
    <x v="8"/>
  </r>
  <r>
    <n v="1022"/>
    <x v="3"/>
    <x v="1"/>
    <x v="0"/>
    <d v="2023-12-14T00:00:00"/>
    <n v="24"/>
    <n v="17169"/>
    <s v="John"/>
    <n v="412056"/>
    <x v="7"/>
  </r>
  <r>
    <n v="1021"/>
    <x v="4"/>
    <x v="0"/>
    <x v="3"/>
    <d v="2025-12-31T00:00:00"/>
    <n v="27"/>
    <n v="4226"/>
    <s v="Neha"/>
    <n v="114102"/>
    <x v="7"/>
  </r>
  <r>
    <n v="1005"/>
    <x v="7"/>
    <x v="1"/>
    <x v="1"/>
    <d v="2023-04-16T00:00:00"/>
    <n v="23"/>
    <n v="27480"/>
    <s v="Arjun"/>
    <n v="632040"/>
    <x v="1"/>
  </r>
  <r>
    <n v="1045"/>
    <x v="2"/>
    <x v="0"/>
    <x v="1"/>
    <d v="2024-05-10T00:00:00"/>
    <n v="12"/>
    <n v="11901"/>
    <s v="Fatima"/>
    <n v="142812"/>
    <x v="9"/>
  </r>
  <r>
    <n v="1049"/>
    <x v="8"/>
    <x v="1"/>
    <x v="0"/>
    <d v="2024-10-22T00:00:00"/>
    <n v="11"/>
    <n v="48835"/>
    <s v="Fatima"/>
    <n v="537185"/>
    <x v="10"/>
  </r>
  <r>
    <n v="1032"/>
    <x v="3"/>
    <x v="1"/>
    <x v="0"/>
    <d v="2024-10-14T00:00:00"/>
    <n v="8"/>
    <n v="2030"/>
    <s v="Carlos"/>
    <n v="16240"/>
    <x v="10"/>
  </r>
  <r>
    <n v="1001"/>
    <x v="7"/>
    <x v="0"/>
    <x v="3"/>
    <d v="2025-03-05T00:00:00"/>
    <n v="24"/>
    <n v="36949"/>
    <s v="Amit"/>
    <n v="886776"/>
    <x v="4"/>
  </r>
  <r>
    <n v="1020"/>
    <x v="6"/>
    <x v="0"/>
    <x v="0"/>
    <d v="2023-10-23T00:00:00"/>
    <n v="41"/>
    <n v="49164"/>
    <s v="Fatima"/>
    <n v="2015724"/>
    <x v="10"/>
  </r>
  <r>
    <n v="1028"/>
    <x v="1"/>
    <x v="1"/>
    <x v="2"/>
    <d v="2024-12-20T00:00:00"/>
    <n v="10"/>
    <n v="26301"/>
    <s v="Amit"/>
    <n v="263010"/>
    <x v="7"/>
  </r>
  <r>
    <n v="1044"/>
    <x v="9"/>
    <x v="0"/>
    <x v="3"/>
    <d v="2023-10-23T00:00:00"/>
    <n v="24"/>
    <n v="48292"/>
    <s v="Amit"/>
    <n v="1159008"/>
    <x v="10"/>
  </r>
  <r>
    <n v="1048"/>
    <x v="2"/>
    <x v="0"/>
    <x v="2"/>
    <d v="2023-05-07T00:00:00"/>
    <n v="11"/>
    <n v="20351"/>
    <s v="John"/>
    <n v="223861"/>
    <x v="9"/>
  </r>
  <r>
    <n v="1037"/>
    <x v="1"/>
    <x v="1"/>
    <x v="3"/>
    <d v="2023-09-22T00:00:00"/>
    <n v="33"/>
    <n v="5321"/>
    <s v="Amit"/>
    <n v="175593"/>
    <x v="2"/>
  </r>
  <r>
    <n v="1012"/>
    <x v="1"/>
    <x v="1"/>
    <x v="0"/>
    <d v="2024-12-21T00:00:00"/>
    <n v="29"/>
    <n v="4700"/>
    <s v="Riya"/>
    <n v="136300"/>
    <x v="7"/>
  </r>
  <r>
    <n v="1018"/>
    <x v="1"/>
    <x v="0"/>
    <x v="1"/>
    <d v="2025-04-03T00:00:00"/>
    <n v="13"/>
    <n v="31118"/>
    <s v="Amit"/>
    <n v="404534"/>
    <x v="1"/>
  </r>
  <r>
    <n v="1045"/>
    <x v="2"/>
    <x v="0"/>
    <x v="1"/>
    <d v="2023-06-30T00:00:00"/>
    <n v="28"/>
    <n v="11421"/>
    <s v="Riya"/>
    <n v="319788"/>
    <x v="11"/>
  </r>
  <r>
    <n v="1005"/>
    <x v="2"/>
    <x v="1"/>
    <x v="3"/>
    <d v="2025-02-10T00:00:00"/>
    <n v="5"/>
    <n v="15676"/>
    <s v="Arjun"/>
    <n v="78380"/>
    <x v="3"/>
  </r>
  <r>
    <n v="1031"/>
    <x v="3"/>
    <x v="0"/>
    <x v="2"/>
    <d v="2025-04-12T00:00:00"/>
    <n v="17"/>
    <n v="22517"/>
    <s v="Riya"/>
    <n v="382789"/>
    <x v="1"/>
  </r>
  <r>
    <n v="1002"/>
    <x v="1"/>
    <x v="0"/>
    <x v="1"/>
    <d v="2023-07-19T00:00:00"/>
    <n v="36"/>
    <n v="6309"/>
    <s v="Sakshi"/>
    <n v="227124"/>
    <x v="5"/>
  </r>
  <r>
    <n v="1045"/>
    <x v="3"/>
    <x v="1"/>
    <x v="3"/>
    <d v="2023-01-30T00:00:00"/>
    <n v="20"/>
    <n v="46247"/>
    <s v="Amit"/>
    <n v="924940"/>
    <x v="8"/>
  </r>
  <r>
    <n v="1009"/>
    <x v="8"/>
    <x v="0"/>
    <x v="3"/>
    <d v="2023-01-25T00:00:00"/>
    <n v="4"/>
    <n v="5841"/>
    <s v="Sakshi"/>
    <n v="23364"/>
    <x v="8"/>
  </r>
  <r>
    <n v="1002"/>
    <x v="2"/>
    <x v="0"/>
    <x v="1"/>
    <d v="2023-02-08T00:00:00"/>
    <n v="28"/>
    <n v="6774"/>
    <s v="Riya"/>
    <n v="189672"/>
    <x v="3"/>
  </r>
  <r>
    <n v="1018"/>
    <x v="8"/>
    <x v="1"/>
    <x v="1"/>
    <d v="2023-11-27T00:00:00"/>
    <n v="16"/>
    <n v="21161"/>
    <s v="Fatima"/>
    <n v="338576"/>
    <x v="0"/>
  </r>
  <r>
    <n v="1035"/>
    <x v="5"/>
    <x v="0"/>
    <x v="2"/>
    <d v="2023-02-02T00:00:00"/>
    <n v="39"/>
    <n v="19385"/>
    <s v="Sakshi"/>
    <n v="756015"/>
    <x v="3"/>
  </r>
  <r>
    <n v="1044"/>
    <x v="7"/>
    <x v="0"/>
    <x v="0"/>
    <d v="2024-05-23T00:00:00"/>
    <n v="30"/>
    <n v="44126"/>
    <s v="Fatima"/>
    <n v="1323780"/>
    <x v="9"/>
  </r>
  <r>
    <n v="1025"/>
    <x v="1"/>
    <x v="0"/>
    <x v="2"/>
    <d v="2024-03-10T00:00:00"/>
    <n v="30"/>
    <n v="22654"/>
    <s v="Fatima"/>
    <n v="679620"/>
    <x v="4"/>
  </r>
  <r>
    <n v="1016"/>
    <x v="3"/>
    <x v="1"/>
    <x v="3"/>
    <d v="2023-06-29T00:00:00"/>
    <n v="20"/>
    <n v="36840"/>
    <s v="Sakshi"/>
    <n v="736800"/>
    <x v="11"/>
  </r>
  <r>
    <n v="1041"/>
    <x v="7"/>
    <x v="0"/>
    <x v="3"/>
    <d v="2024-03-11T00:00:00"/>
    <n v="32"/>
    <n v="22021"/>
    <s v="John"/>
    <n v="704672"/>
    <x v="4"/>
  </r>
  <r>
    <n v="1044"/>
    <x v="3"/>
    <x v="1"/>
    <x v="0"/>
    <d v="2024-12-14T00:00:00"/>
    <n v="46"/>
    <n v="46653"/>
    <s v="Carlos"/>
    <n v="2146038"/>
    <x v="7"/>
  </r>
  <r>
    <n v="1046"/>
    <x v="6"/>
    <x v="1"/>
    <x v="2"/>
    <d v="2025-08-09T00:00:00"/>
    <n v="26"/>
    <n v="46288"/>
    <s v="Neha"/>
    <n v="1203488"/>
    <x v="6"/>
  </r>
  <r>
    <n v="1020"/>
    <x v="1"/>
    <x v="0"/>
    <x v="2"/>
    <d v="2025-10-21T00:00:00"/>
    <n v="3"/>
    <n v="36487"/>
    <s v="John"/>
    <n v="109461"/>
    <x v="10"/>
  </r>
  <r>
    <n v="1004"/>
    <x v="5"/>
    <x v="1"/>
    <x v="2"/>
    <d v="2023-08-14T00:00:00"/>
    <n v="34"/>
    <n v="4602"/>
    <s v="Riya"/>
    <n v="156468"/>
    <x v="6"/>
  </r>
  <r>
    <n v="1032"/>
    <x v="0"/>
    <x v="1"/>
    <x v="1"/>
    <d v="2025-11-20T00:00:00"/>
    <n v="10"/>
    <n v="21038"/>
    <s v="Riya"/>
    <n v="210380"/>
    <x v="0"/>
  </r>
  <r>
    <n v="1020"/>
    <x v="9"/>
    <x v="0"/>
    <x v="3"/>
    <d v="2025-11-13T00:00:00"/>
    <n v="37"/>
    <n v="34149"/>
    <s v="Neha"/>
    <n v="1263513"/>
    <x v="0"/>
  </r>
  <r>
    <n v="1039"/>
    <x v="0"/>
    <x v="1"/>
    <x v="2"/>
    <d v="2024-06-14T00:00:00"/>
    <n v="17"/>
    <n v="11020"/>
    <s v="Amit"/>
    <n v="187340"/>
    <x v="11"/>
  </r>
  <r>
    <n v="1015"/>
    <x v="8"/>
    <x v="0"/>
    <x v="1"/>
    <d v="2025-12-20T00:00:00"/>
    <n v="44"/>
    <n v="47614"/>
    <s v="Arjun"/>
    <n v="2095016"/>
    <x v="7"/>
  </r>
  <r>
    <n v="1018"/>
    <x v="5"/>
    <x v="1"/>
    <x v="1"/>
    <d v="2023-04-22T00:00:00"/>
    <n v="30"/>
    <n v="22147"/>
    <s v="Riya"/>
    <n v="664410"/>
    <x v="1"/>
  </r>
  <r>
    <n v="1007"/>
    <x v="2"/>
    <x v="0"/>
    <x v="2"/>
    <d v="2024-03-19T00:00:00"/>
    <n v="28"/>
    <n v="17459"/>
    <s v="Fatima"/>
    <n v="488852"/>
    <x v="4"/>
  </r>
  <r>
    <n v="1003"/>
    <x v="0"/>
    <x v="1"/>
    <x v="3"/>
    <d v="2024-09-27T00:00:00"/>
    <n v="23"/>
    <n v="49434"/>
    <s v="Sakshi"/>
    <n v="1136982"/>
    <x v="2"/>
  </r>
  <r>
    <n v="1008"/>
    <x v="1"/>
    <x v="1"/>
    <x v="0"/>
    <d v="2025-07-09T00:00:00"/>
    <n v="13"/>
    <n v="45866"/>
    <s v="Carlos"/>
    <n v="596258"/>
    <x v="5"/>
  </r>
  <r>
    <n v="1029"/>
    <x v="8"/>
    <x v="0"/>
    <x v="0"/>
    <d v="2023-06-03T00:00:00"/>
    <n v="25"/>
    <n v="25332"/>
    <s v="Riya"/>
    <n v="633300"/>
    <x v="11"/>
  </r>
  <r>
    <n v="1008"/>
    <x v="9"/>
    <x v="1"/>
    <x v="2"/>
    <d v="2023-05-07T00:00:00"/>
    <n v="43"/>
    <n v="10782"/>
    <s v="Amit"/>
    <n v="463626"/>
    <x v="9"/>
  </r>
  <r>
    <n v="1001"/>
    <x v="3"/>
    <x v="1"/>
    <x v="3"/>
    <d v="2024-06-02T00:00:00"/>
    <n v="18"/>
    <n v="40957"/>
    <s v="Sakshi"/>
    <n v="737226"/>
    <x v="11"/>
  </r>
  <r>
    <n v="1043"/>
    <x v="7"/>
    <x v="0"/>
    <x v="0"/>
    <d v="2023-11-08T00:00:00"/>
    <n v="28"/>
    <n v="48254"/>
    <s v="Sakshi"/>
    <n v="1351112"/>
    <x v="0"/>
  </r>
  <r>
    <n v="1021"/>
    <x v="8"/>
    <x v="0"/>
    <x v="3"/>
    <d v="2025-10-04T00:00:00"/>
    <n v="35"/>
    <n v="11003"/>
    <s v="Sakshi"/>
    <n v="385105"/>
    <x v="10"/>
  </r>
  <r>
    <n v="1039"/>
    <x v="0"/>
    <x v="1"/>
    <x v="0"/>
    <d v="2025-12-31T00:00:00"/>
    <n v="2"/>
    <n v="37134"/>
    <s v="Riya"/>
    <n v="74268"/>
    <x v="7"/>
  </r>
  <r>
    <n v="1045"/>
    <x v="5"/>
    <x v="1"/>
    <x v="1"/>
    <d v="2023-04-04T00:00:00"/>
    <n v="5"/>
    <n v="13535"/>
    <s v="Fatima"/>
    <n v="67675"/>
    <x v="1"/>
  </r>
  <r>
    <n v="1002"/>
    <x v="3"/>
    <x v="0"/>
    <x v="3"/>
    <d v="2023-09-06T00:00:00"/>
    <n v="48"/>
    <n v="37747"/>
    <s v="Neha"/>
    <n v="1811856"/>
    <x v="2"/>
  </r>
  <r>
    <n v="1034"/>
    <x v="3"/>
    <x v="1"/>
    <x v="0"/>
    <d v="2024-02-05T00:00:00"/>
    <n v="18"/>
    <n v="36998"/>
    <s v="Riya"/>
    <n v="665964"/>
    <x v="3"/>
  </r>
  <r>
    <n v="1021"/>
    <x v="8"/>
    <x v="0"/>
    <x v="2"/>
    <d v="2024-08-06T00:00:00"/>
    <n v="48"/>
    <n v="7059"/>
    <s v="Fatima"/>
    <n v="338832"/>
    <x v="6"/>
  </r>
  <r>
    <n v="1048"/>
    <x v="9"/>
    <x v="0"/>
    <x v="3"/>
    <d v="2023-06-24T00:00:00"/>
    <n v="44"/>
    <n v="12711"/>
    <s v="Carlos"/>
    <n v="559284"/>
    <x v="11"/>
  </r>
  <r>
    <n v="1033"/>
    <x v="6"/>
    <x v="0"/>
    <x v="3"/>
    <d v="2023-07-11T00:00:00"/>
    <n v="37"/>
    <n v="39358"/>
    <s v="Amit"/>
    <n v="1456246"/>
    <x v="5"/>
  </r>
  <r>
    <n v="1039"/>
    <x v="2"/>
    <x v="0"/>
    <x v="3"/>
    <d v="2024-02-18T00:00:00"/>
    <n v="44"/>
    <n v="1136"/>
    <s v="John"/>
    <n v="49984"/>
    <x v="3"/>
  </r>
  <r>
    <n v="1040"/>
    <x v="3"/>
    <x v="1"/>
    <x v="0"/>
    <d v="2023-04-29T00:00:00"/>
    <n v="49"/>
    <n v="33646"/>
    <s v="Neha"/>
    <n v="1648654"/>
    <x v="1"/>
  </r>
  <r>
    <n v="1007"/>
    <x v="0"/>
    <x v="0"/>
    <x v="1"/>
    <d v="2023-12-07T00:00:00"/>
    <n v="34"/>
    <n v="17239"/>
    <s v="Carlos"/>
    <n v="586126"/>
    <x v="7"/>
  </r>
  <r>
    <n v="1015"/>
    <x v="8"/>
    <x v="0"/>
    <x v="1"/>
    <d v="2025-12-09T00:00:00"/>
    <n v="11"/>
    <n v="10758"/>
    <s v="Fatima"/>
    <n v="118338"/>
    <x v="7"/>
  </r>
  <r>
    <n v="1009"/>
    <x v="1"/>
    <x v="0"/>
    <x v="0"/>
    <d v="2024-06-29T00:00:00"/>
    <n v="35"/>
    <n v="2627"/>
    <s v="Carlos"/>
    <n v="91945"/>
    <x v="11"/>
  </r>
  <r>
    <n v="1030"/>
    <x v="4"/>
    <x v="1"/>
    <x v="1"/>
    <d v="2025-02-04T00:00:00"/>
    <n v="25"/>
    <n v="45042"/>
    <s v="Arjun"/>
    <n v="1126050"/>
    <x v="3"/>
  </r>
  <r>
    <n v="1044"/>
    <x v="2"/>
    <x v="0"/>
    <x v="1"/>
    <d v="2025-12-23T00:00:00"/>
    <n v="29"/>
    <n v="13750"/>
    <s v="Amit"/>
    <n v="398750"/>
    <x v="7"/>
  </r>
  <r>
    <n v="1017"/>
    <x v="6"/>
    <x v="1"/>
    <x v="2"/>
    <d v="2023-09-26T00:00:00"/>
    <n v="46"/>
    <n v="10856"/>
    <s v="Fatima"/>
    <n v="499376"/>
    <x v="2"/>
  </r>
  <r>
    <n v="1038"/>
    <x v="4"/>
    <x v="0"/>
    <x v="1"/>
    <d v="2025-05-24T00:00:00"/>
    <n v="1"/>
    <n v="2891"/>
    <s v="Arjun"/>
    <n v="2891"/>
    <x v="9"/>
  </r>
  <r>
    <n v="1041"/>
    <x v="8"/>
    <x v="1"/>
    <x v="0"/>
    <d v="2024-06-22T00:00:00"/>
    <n v="37"/>
    <n v="22610"/>
    <s v="Sakshi"/>
    <n v="836570"/>
    <x v="11"/>
  </r>
  <r>
    <n v="1039"/>
    <x v="7"/>
    <x v="1"/>
    <x v="0"/>
    <d v="2024-03-31T00:00:00"/>
    <n v="12"/>
    <n v="16795"/>
    <s v="Amit"/>
    <n v="201540"/>
    <x v="4"/>
  </r>
  <r>
    <n v="1048"/>
    <x v="1"/>
    <x v="0"/>
    <x v="0"/>
    <d v="2025-07-25T00:00:00"/>
    <n v="45"/>
    <n v="43245"/>
    <s v="John"/>
    <n v="1946025"/>
    <x v="5"/>
  </r>
  <r>
    <n v="1021"/>
    <x v="8"/>
    <x v="0"/>
    <x v="2"/>
    <d v="2025-07-13T00:00:00"/>
    <n v="38"/>
    <n v="12328"/>
    <s v="Fatima"/>
    <n v="468464"/>
    <x v="5"/>
  </r>
  <r>
    <n v="1003"/>
    <x v="6"/>
    <x v="1"/>
    <x v="3"/>
    <d v="2023-09-11T00:00:00"/>
    <n v="5"/>
    <n v="34276"/>
    <s v="Carlos"/>
    <n v="171380"/>
    <x v="2"/>
  </r>
  <r>
    <n v="1037"/>
    <x v="2"/>
    <x v="0"/>
    <x v="1"/>
    <d v="2023-06-30T00:00:00"/>
    <n v="47"/>
    <n v="26122"/>
    <s v="Fatima"/>
    <n v="1227734"/>
    <x v="11"/>
  </r>
  <r>
    <n v="1017"/>
    <x v="5"/>
    <x v="1"/>
    <x v="0"/>
    <d v="2024-07-11T00:00:00"/>
    <n v="24"/>
    <n v="39158"/>
    <s v="Fatima"/>
    <n v="939792"/>
    <x v="5"/>
  </r>
  <r>
    <n v="1017"/>
    <x v="1"/>
    <x v="0"/>
    <x v="2"/>
    <d v="2025-08-22T00:00:00"/>
    <n v="21"/>
    <n v="4686"/>
    <s v="Riya"/>
    <n v="98406"/>
    <x v="6"/>
  </r>
  <r>
    <n v="1011"/>
    <x v="3"/>
    <x v="1"/>
    <x v="1"/>
    <d v="2025-03-15T00:00:00"/>
    <n v="1"/>
    <n v="10986"/>
    <s v="Sakshi"/>
    <n v="10986"/>
    <x v="4"/>
  </r>
  <r>
    <n v="1010"/>
    <x v="3"/>
    <x v="1"/>
    <x v="3"/>
    <d v="2025-08-13T00:00:00"/>
    <n v="24"/>
    <n v="5456"/>
    <s v="Neha"/>
    <n v="130944"/>
    <x v="6"/>
  </r>
  <r>
    <n v="1001"/>
    <x v="7"/>
    <x v="0"/>
    <x v="2"/>
    <d v="2024-12-14T00:00:00"/>
    <n v="20"/>
    <n v="32080"/>
    <s v="Arjun"/>
    <n v="641600"/>
    <x v="7"/>
  </r>
  <r>
    <n v="1010"/>
    <x v="9"/>
    <x v="0"/>
    <x v="0"/>
    <d v="2025-07-05T00:00:00"/>
    <n v="16"/>
    <n v="20795"/>
    <s v="Sakshi"/>
    <n v="332720"/>
    <x v="5"/>
  </r>
  <r>
    <n v="1025"/>
    <x v="9"/>
    <x v="0"/>
    <x v="0"/>
    <d v="2023-01-09T00:00:00"/>
    <n v="12"/>
    <n v="28029"/>
    <s v="Sakshi"/>
    <n v="336348"/>
    <x v="8"/>
  </r>
  <r>
    <n v="1016"/>
    <x v="0"/>
    <x v="0"/>
    <x v="3"/>
    <d v="2025-04-24T00:00:00"/>
    <n v="26"/>
    <n v="23530"/>
    <s v="Amit"/>
    <n v="611780"/>
    <x v="1"/>
  </r>
  <r>
    <n v="1038"/>
    <x v="1"/>
    <x v="0"/>
    <x v="1"/>
    <d v="2025-01-27T00:00:00"/>
    <n v="6"/>
    <n v="6284"/>
    <s v="Riya"/>
    <n v="37704"/>
    <x v="8"/>
  </r>
  <r>
    <n v="1032"/>
    <x v="3"/>
    <x v="0"/>
    <x v="2"/>
    <d v="2023-10-16T00:00:00"/>
    <n v="19"/>
    <n v="26036"/>
    <s v="Neha"/>
    <n v="494684"/>
    <x v="10"/>
  </r>
  <r>
    <n v="1025"/>
    <x v="1"/>
    <x v="1"/>
    <x v="2"/>
    <d v="2025-06-08T00:00:00"/>
    <n v="4"/>
    <n v="26362"/>
    <s v="Amit"/>
    <n v="105448"/>
    <x v="11"/>
  </r>
  <r>
    <n v="1013"/>
    <x v="7"/>
    <x v="0"/>
    <x v="1"/>
    <d v="2025-02-27T00:00:00"/>
    <n v="5"/>
    <n v="4419"/>
    <s v="Riya"/>
    <n v="22095"/>
    <x v="3"/>
  </r>
  <r>
    <n v="1043"/>
    <x v="2"/>
    <x v="1"/>
    <x v="0"/>
    <d v="2023-07-27T00:00:00"/>
    <n v="43"/>
    <n v="23077"/>
    <s v="Amit"/>
    <n v="992311"/>
    <x v="5"/>
  </r>
  <r>
    <n v="1016"/>
    <x v="6"/>
    <x v="1"/>
    <x v="1"/>
    <d v="2023-03-02T00:00:00"/>
    <n v="26"/>
    <n v="8397"/>
    <s v="Riya"/>
    <n v="218322"/>
    <x v="4"/>
  </r>
  <r>
    <n v="1041"/>
    <x v="7"/>
    <x v="1"/>
    <x v="1"/>
    <d v="2023-04-12T00:00:00"/>
    <n v="40"/>
    <n v="37657"/>
    <s v="John"/>
    <n v="1506280"/>
    <x v="1"/>
  </r>
  <r>
    <n v="1020"/>
    <x v="8"/>
    <x v="0"/>
    <x v="1"/>
    <d v="2024-03-23T00:00:00"/>
    <n v="31"/>
    <n v="22885"/>
    <s v="Riya"/>
    <n v="709435"/>
    <x v="4"/>
  </r>
  <r>
    <n v="1028"/>
    <x v="1"/>
    <x v="1"/>
    <x v="0"/>
    <d v="2024-03-06T00:00:00"/>
    <n v="18"/>
    <n v="24108"/>
    <s v="John"/>
    <n v="433944"/>
    <x v="4"/>
  </r>
  <r>
    <n v="1008"/>
    <x v="3"/>
    <x v="0"/>
    <x v="0"/>
    <d v="2025-02-13T00:00:00"/>
    <n v="9"/>
    <n v="17033"/>
    <s v="Amit"/>
    <n v="153297"/>
    <x v="3"/>
  </r>
  <r>
    <n v="1031"/>
    <x v="1"/>
    <x v="0"/>
    <x v="2"/>
    <d v="2024-02-10T00:00:00"/>
    <n v="34"/>
    <n v="19739"/>
    <s v="Riya"/>
    <n v="671126"/>
    <x v="3"/>
  </r>
  <r>
    <n v="1028"/>
    <x v="8"/>
    <x v="0"/>
    <x v="1"/>
    <d v="2024-08-19T00:00:00"/>
    <n v="31"/>
    <n v="27985"/>
    <s v="Neha"/>
    <n v="867535"/>
    <x v="6"/>
  </r>
  <r>
    <n v="1029"/>
    <x v="3"/>
    <x v="0"/>
    <x v="1"/>
    <d v="2025-05-22T00:00:00"/>
    <n v="39"/>
    <n v="34831"/>
    <s v="John"/>
    <n v="1358409"/>
    <x v="9"/>
  </r>
  <r>
    <n v="1042"/>
    <x v="5"/>
    <x v="1"/>
    <x v="0"/>
    <d v="2024-02-21T00:00:00"/>
    <n v="17"/>
    <n v="42753"/>
    <s v="Arjun"/>
    <n v="726801"/>
    <x v="3"/>
  </r>
  <r>
    <n v="1034"/>
    <x v="9"/>
    <x v="0"/>
    <x v="0"/>
    <d v="2024-07-13T00:00:00"/>
    <n v="49"/>
    <n v="12324"/>
    <s v="Fatima"/>
    <n v="603876"/>
    <x v="5"/>
  </r>
  <r>
    <n v="1037"/>
    <x v="5"/>
    <x v="0"/>
    <x v="1"/>
    <d v="2023-12-25T00:00:00"/>
    <n v="47"/>
    <n v="41011"/>
    <s v="Fatima"/>
    <n v="1927517"/>
    <x v="7"/>
  </r>
  <r>
    <n v="1042"/>
    <x v="7"/>
    <x v="0"/>
    <x v="3"/>
    <d v="2025-03-19T00:00:00"/>
    <n v="49"/>
    <n v="7946"/>
    <s v="Fatima"/>
    <n v="389354"/>
    <x v="4"/>
  </r>
  <r>
    <n v="1020"/>
    <x v="8"/>
    <x v="1"/>
    <x v="0"/>
    <d v="2024-10-10T00:00:00"/>
    <n v="36"/>
    <n v="49209"/>
    <s v="John"/>
    <n v="1771524"/>
    <x v="10"/>
  </r>
  <r>
    <n v="1005"/>
    <x v="7"/>
    <x v="1"/>
    <x v="3"/>
    <d v="2024-11-18T00:00:00"/>
    <n v="37"/>
    <n v="13238"/>
    <s v="John"/>
    <n v="489806"/>
    <x v="0"/>
  </r>
  <r>
    <n v="1027"/>
    <x v="2"/>
    <x v="1"/>
    <x v="1"/>
    <d v="2024-04-30T00:00:00"/>
    <n v="9"/>
    <n v="4532"/>
    <s v="Carlos"/>
    <n v="40788"/>
    <x v="1"/>
  </r>
  <r>
    <n v="1037"/>
    <x v="7"/>
    <x v="0"/>
    <x v="1"/>
    <d v="2023-08-03T00:00:00"/>
    <n v="36"/>
    <n v="33232"/>
    <s v="Amit"/>
    <n v="1196352"/>
    <x v="6"/>
  </r>
  <r>
    <n v="1037"/>
    <x v="8"/>
    <x v="1"/>
    <x v="3"/>
    <d v="2023-07-01T00:00:00"/>
    <n v="43"/>
    <n v="47748"/>
    <s v="Sakshi"/>
    <n v="2053164"/>
    <x v="5"/>
  </r>
  <r>
    <n v="1031"/>
    <x v="2"/>
    <x v="0"/>
    <x v="3"/>
    <d v="2023-07-12T00:00:00"/>
    <n v="7"/>
    <n v="6822"/>
    <s v="John"/>
    <n v="47754"/>
    <x v="5"/>
  </r>
  <r>
    <n v="1033"/>
    <x v="3"/>
    <x v="0"/>
    <x v="1"/>
    <d v="2023-12-31T00:00:00"/>
    <n v="2"/>
    <n v="9505"/>
    <s v="Riya"/>
    <n v="19010"/>
    <x v="7"/>
  </r>
  <r>
    <n v="1048"/>
    <x v="6"/>
    <x v="0"/>
    <x v="3"/>
    <d v="2024-10-27T00:00:00"/>
    <n v="2"/>
    <n v="34610"/>
    <s v="Carlos"/>
    <n v="69220"/>
    <x v="10"/>
  </r>
  <r>
    <n v="1032"/>
    <x v="3"/>
    <x v="1"/>
    <x v="1"/>
    <d v="2023-02-02T00:00:00"/>
    <n v="21"/>
    <n v="17685"/>
    <s v="Carlos"/>
    <n v="371385"/>
    <x v="3"/>
  </r>
  <r>
    <n v="1017"/>
    <x v="9"/>
    <x v="0"/>
    <x v="3"/>
    <d v="2025-06-23T00:00:00"/>
    <n v="41"/>
    <n v="43065"/>
    <s v="Amit"/>
    <n v="1765665"/>
    <x v="11"/>
  </r>
  <r>
    <n v="1043"/>
    <x v="2"/>
    <x v="0"/>
    <x v="1"/>
    <d v="2024-08-04T00:00:00"/>
    <n v="12"/>
    <n v="21613"/>
    <s v="Riya"/>
    <n v="259356"/>
    <x v="6"/>
  </r>
  <r>
    <n v="1023"/>
    <x v="4"/>
    <x v="1"/>
    <x v="0"/>
    <d v="2025-07-30T00:00:00"/>
    <n v="12"/>
    <n v="17798"/>
    <s v="John"/>
    <n v="213576"/>
    <x v="5"/>
  </r>
  <r>
    <n v="1048"/>
    <x v="1"/>
    <x v="0"/>
    <x v="1"/>
    <d v="2023-01-07T00:00:00"/>
    <n v="42"/>
    <n v="6966"/>
    <s v="Amit"/>
    <n v="292572"/>
    <x v="8"/>
  </r>
  <r>
    <n v="1045"/>
    <x v="8"/>
    <x v="1"/>
    <x v="1"/>
    <d v="2025-10-27T00:00:00"/>
    <n v="4"/>
    <n v="8687"/>
    <s v="Sakshi"/>
    <n v="34748"/>
    <x v="10"/>
  </r>
  <r>
    <n v="1041"/>
    <x v="0"/>
    <x v="1"/>
    <x v="0"/>
    <d v="2025-01-10T00:00:00"/>
    <n v="36"/>
    <n v="28068"/>
    <s v="Sakshi"/>
    <n v="1010448"/>
    <x v="8"/>
  </r>
  <r>
    <n v="1037"/>
    <x v="6"/>
    <x v="0"/>
    <x v="1"/>
    <d v="2023-04-24T00:00:00"/>
    <n v="39"/>
    <n v="14886"/>
    <s v="Neha"/>
    <n v="580554"/>
    <x v="1"/>
  </r>
  <r>
    <n v="1017"/>
    <x v="5"/>
    <x v="1"/>
    <x v="0"/>
    <d v="2024-12-21T00:00:00"/>
    <n v="5"/>
    <n v="27626"/>
    <s v="Riya"/>
    <n v="138130"/>
    <x v="7"/>
  </r>
  <r>
    <n v="1048"/>
    <x v="7"/>
    <x v="0"/>
    <x v="0"/>
    <d v="2024-11-17T00:00:00"/>
    <n v="26"/>
    <n v="8924"/>
    <s v="Carlos"/>
    <n v="232024"/>
    <x v="0"/>
  </r>
  <r>
    <n v="1018"/>
    <x v="9"/>
    <x v="1"/>
    <x v="3"/>
    <d v="2024-06-16T00:00:00"/>
    <n v="32"/>
    <n v="21376"/>
    <s v="Amit"/>
    <n v="684032"/>
    <x v="11"/>
  </r>
  <r>
    <n v="1014"/>
    <x v="2"/>
    <x v="0"/>
    <x v="1"/>
    <d v="2024-01-02T00:00:00"/>
    <n v="49"/>
    <n v="19947"/>
    <s v="Neha"/>
    <n v="977403"/>
    <x v="8"/>
  </r>
  <r>
    <n v="1016"/>
    <x v="1"/>
    <x v="1"/>
    <x v="0"/>
    <d v="2023-07-03T00:00:00"/>
    <n v="14"/>
    <n v="12342"/>
    <s v="Riya"/>
    <n v="172788"/>
    <x v="5"/>
  </r>
  <r>
    <n v="1024"/>
    <x v="9"/>
    <x v="1"/>
    <x v="2"/>
    <d v="2023-10-15T00:00:00"/>
    <n v="13"/>
    <n v="15448"/>
    <s v="Carlos"/>
    <n v="200824"/>
    <x v="10"/>
  </r>
  <r>
    <n v="1039"/>
    <x v="8"/>
    <x v="1"/>
    <x v="1"/>
    <d v="2024-01-06T00:00:00"/>
    <n v="24"/>
    <n v="25508"/>
    <s v="Sakshi"/>
    <n v="612192"/>
    <x v="8"/>
  </r>
  <r>
    <n v="1003"/>
    <x v="6"/>
    <x v="0"/>
    <x v="1"/>
    <d v="2025-04-01T00:00:00"/>
    <n v="18"/>
    <n v="1492"/>
    <s v="Carlos"/>
    <n v="26856"/>
    <x v="1"/>
  </r>
  <r>
    <n v="1013"/>
    <x v="6"/>
    <x v="1"/>
    <x v="2"/>
    <d v="2023-02-04T00:00:00"/>
    <n v="13"/>
    <n v="29820"/>
    <s v="Fatima"/>
    <n v="387660"/>
    <x v="3"/>
  </r>
  <r>
    <n v="1039"/>
    <x v="5"/>
    <x v="1"/>
    <x v="0"/>
    <d v="2023-01-23T00:00:00"/>
    <n v="47"/>
    <n v="24771"/>
    <s v="Carlos"/>
    <n v="1164237"/>
    <x v="8"/>
  </r>
  <r>
    <n v="1021"/>
    <x v="9"/>
    <x v="1"/>
    <x v="1"/>
    <d v="2023-12-16T00:00:00"/>
    <n v="47"/>
    <n v="36910"/>
    <s v="Carlos"/>
    <n v="1734770"/>
    <x v="7"/>
  </r>
  <r>
    <n v="1019"/>
    <x v="2"/>
    <x v="0"/>
    <x v="2"/>
    <d v="2023-11-26T00:00:00"/>
    <n v="32"/>
    <n v="19697"/>
    <s v="Riya"/>
    <n v="630304"/>
    <x v="0"/>
  </r>
  <r>
    <n v="1016"/>
    <x v="4"/>
    <x v="1"/>
    <x v="1"/>
    <d v="2025-04-16T00:00:00"/>
    <n v="40"/>
    <n v="33053"/>
    <s v="Neha"/>
    <n v="1322120"/>
    <x v="1"/>
  </r>
  <r>
    <n v="1028"/>
    <x v="4"/>
    <x v="0"/>
    <x v="3"/>
    <d v="2025-02-01T00:00:00"/>
    <n v="24"/>
    <n v="38097"/>
    <s v="Arjun"/>
    <n v="914328"/>
    <x v="3"/>
  </r>
  <r>
    <n v="1005"/>
    <x v="7"/>
    <x v="0"/>
    <x v="1"/>
    <d v="2024-03-01T00:00:00"/>
    <n v="49"/>
    <n v="2687"/>
    <s v="John"/>
    <n v="131663"/>
    <x v="4"/>
  </r>
  <r>
    <n v="1008"/>
    <x v="2"/>
    <x v="0"/>
    <x v="0"/>
    <d v="2024-01-25T00:00:00"/>
    <n v="18"/>
    <n v="5655"/>
    <s v="Fatima"/>
    <n v="101790"/>
    <x v="8"/>
  </r>
  <r>
    <n v="1015"/>
    <x v="1"/>
    <x v="0"/>
    <x v="0"/>
    <d v="2023-08-06T00:00:00"/>
    <n v="14"/>
    <n v="11031"/>
    <s v="Carlos"/>
    <n v="154434"/>
    <x v="6"/>
  </r>
  <r>
    <n v="1009"/>
    <x v="8"/>
    <x v="0"/>
    <x v="1"/>
    <d v="2024-05-21T00:00:00"/>
    <n v="32"/>
    <n v="15046"/>
    <s v="Sakshi"/>
    <n v="481472"/>
    <x v="9"/>
  </r>
  <r>
    <n v="1018"/>
    <x v="3"/>
    <x v="1"/>
    <x v="2"/>
    <d v="2025-07-10T00:00:00"/>
    <n v="26"/>
    <n v="46758"/>
    <s v="Arjun"/>
    <n v="1215708"/>
    <x v="5"/>
  </r>
  <r>
    <n v="1020"/>
    <x v="5"/>
    <x v="1"/>
    <x v="2"/>
    <d v="2024-11-24T00:00:00"/>
    <n v="5"/>
    <n v="42326"/>
    <s v="Sakshi"/>
    <n v="211630"/>
    <x v="0"/>
  </r>
  <r>
    <n v="1036"/>
    <x v="2"/>
    <x v="0"/>
    <x v="2"/>
    <d v="2025-04-24T00:00:00"/>
    <n v="2"/>
    <n v="33216"/>
    <s v="John"/>
    <n v="66432"/>
    <x v="1"/>
  </r>
  <r>
    <n v="1045"/>
    <x v="8"/>
    <x v="0"/>
    <x v="0"/>
    <d v="2025-08-08T00:00:00"/>
    <n v="32"/>
    <n v="25651"/>
    <s v="Carlos"/>
    <n v="820832"/>
    <x v="6"/>
  </r>
  <r>
    <n v="1044"/>
    <x v="0"/>
    <x v="0"/>
    <x v="1"/>
    <d v="2025-07-08T00:00:00"/>
    <n v="2"/>
    <n v="37547"/>
    <s v="Neha"/>
    <n v="75094"/>
    <x v="5"/>
  </r>
  <r>
    <n v="1026"/>
    <x v="8"/>
    <x v="0"/>
    <x v="3"/>
    <d v="2025-05-12T00:00:00"/>
    <n v="41"/>
    <n v="29458"/>
    <s v="Sakshi"/>
    <n v="1207778"/>
    <x v="9"/>
  </r>
  <r>
    <n v="1002"/>
    <x v="9"/>
    <x v="1"/>
    <x v="3"/>
    <d v="2023-08-02T00:00:00"/>
    <n v="7"/>
    <n v="39360"/>
    <s v="Fatima"/>
    <n v="275520"/>
    <x v="6"/>
  </r>
  <r>
    <n v="1038"/>
    <x v="5"/>
    <x v="0"/>
    <x v="3"/>
    <d v="2024-04-10T00:00:00"/>
    <n v="15"/>
    <n v="36730"/>
    <s v="Sakshi"/>
    <n v="550950"/>
    <x v="1"/>
  </r>
  <r>
    <n v="1006"/>
    <x v="8"/>
    <x v="0"/>
    <x v="0"/>
    <d v="2024-12-04T00:00:00"/>
    <n v="48"/>
    <n v="46171"/>
    <s v="Amit"/>
    <n v="2216208"/>
    <x v="7"/>
  </r>
  <r>
    <n v="1003"/>
    <x v="8"/>
    <x v="1"/>
    <x v="3"/>
    <d v="2025-11-28T00:00:00"/>
    <n v="39"/>
    <n v="5313"/>
    <s v="Carlos"/>
    <n v="207207"/>
    <x v="0"/>
  </r>
  <r>
    <n v="1021"/>
    <x v="9"/>
    <x v="0"/>
    <x v="3"/>
    <d v="2023-05-02T00:00:00"/>
    <n v="40"/>
    <n v="28355"/>
    <s v="Neha"/>
    <n v="1134200"/>
    <x v="9"/>
  </r>
  <r>
    <n v="1023"/>
    <x v="0"/>
    <x v="0"/>
    <x v="2"/>
    <d v="2023-08-27T00:00:00"/>
    <n v="30"/>
    <n v="9663"/>
    <s v="Arjun"/>
    <n v="289890"/>
    <x v="6"/>
  </r>
  <r>
    <n v="1026"/>
    <x v="4"/>
    <x v="0"/>
    <x v="2"/>
    <d v="2025-02-07T00:00:00"/>
    <n v="23"/>
    <n v="5026"/>
    <s v="Carlos"/>
    <n v="115598"/>
    <x v="3"/>
  </r>
  <r>
    <n v="1049"/>
    <x v="7"/>
    <x v="0"/>
    <x v="3"/>
    <d v="2024-01-14T00:00:00"/>
    <n v="27"/>
    <n v="27357"/>
    <s v="Riya"/>
    <n v="738639"/>
    <x v="8"/>
  </r>
  <r>
    <n v="1022"/>
    <x v="6"/>
    <x v="1"/>
    <x v="2"/>
    <d v="2025-01-15T00:00:00"/>
    <n v="13"/>
    <n v="48294"/>
    <s v="Fatima"/>
    <n v="627822"/>
    <x v="8"/>
  </r>
  <r>
    <n v="1020"/>
    <x v="9"/>
    <x v="1"/>
    <x v="1"/>
    <d v="2024-09-14T00:00:00"/>
    <n v="28"/>
    <n v="4821"/>
    <s v="Sakshi"/>
    <n v="134988"/>
    <x v="2"/>
  </r>
  <r>
    <n v="1045"/>
    <x v="0"/>
    <x v="0"/>
    <x v="1"/>
    <d v="2024-10-26T00:00:00"/>
    <n v="27"/>
    <n v="5634"/>
    <s v="Neha"/>
    <n v="152118"/>
    <x v="10"/>
  </r>
  <r>
    <n v="1030"/>
    <x v="6"/>
    <x v="1"/>
    <x v="2"/>
    <d v="2024-09-23T00:00:00"/>
    <n v="30"/>
    <n v="23959"/>
    <s v="John"/>
    <n v="718770"/>
    <x v="2"/>
  </r>
  <r>
    <n v="1032"/>
    <x v="8"/>
    <x v="0"/>
    <x v="2"/>
    <d v="2024-04-10T00:00:00"/>
    <n v="2"/>
    <n v="28471"/>
    <s v="Carlos"/>
    <n v="56942"/>
    <x v="1"/>
  </r>
  <r>
    <n v="1048"/>
    <x v="5"/>
    <x v="1"/>
    <x v="1"/>
    <d v="2024-11-06T00:00:00"/>
    <n v="30"/>
    <n v="41906"/>
    <s v="Sakshi"/>
    <n v="1257180"/>
    <x v="0"/>
  </r>
  <r>
    <n v="1002"/>
    <x v="6"/>
    <x v="0"/>
    <x v="0"/>
    <d v="2024-11-08T00:00:00"/>
    <n v="3"/>
    <n v="38731"/>
    <s v="John"/>
    <n v="116193"/>
    <x v="0"/>
  </r>
  <r>
    <n v="1048"/>
    <x v="1"/>
    <x v="1"/>
    <x v="3"/>
    <d v="2025-12-24T00:00:00"/>
    <n v="22"/>
    <n v="20442"/>
    <s v="Arjun"/>
    <n v="449724"/>
    <x v="7"/>
  </r>
  <r>
    <n v="1040"/>
    <x v="0"/>
    <x v="0"/>
    <x v="2"/>
    <d v="2023-03-24T00:00:00"/>
    <n v="29"/>
    <n v="13544"/>
    <s v="Riya"/>
    <n v="392776"/>
    <x v="4"/>
  </r>
  <r>
    <n v="1039"/>
    <x v="8"/>
    <x v="1"/>
    <x v="0"/>
    <d v="2023-10-21T00:00:00"/>
    <n v="14"/>
    <n v="27107"/>
    <s v="Sakshi"/>
    <n v="379498"/>
    <x v="10"/>
  </r>
  <r>
    <n v="1038"/>
    <x v="4"/>
    <x v="0"/>
    <x v="3"/>
    <d v="2025-12-06T00:00:00"/>
    <n v="45"/>
    <n v="37748"/>
    <s v="Riya"/>
    <n v="1698660"/>
    <x v="7"/>
  </r>
  <r>
    <n v="1030"/>
    <x v="0"/>
    <x v="1"/>
    <x v="2"/>
    <d v="2023-09-12T00:00:00"/>
    <n v="15"/>
    <n v="8841"/>
    <s v="Riya"/>
    <n v="132615"/>
    <x v="2"/>
  </r>
  <r>
    <n v="1032"/>
    <x v="2"/>
    <x v="0"/>
    <x v="2"/>
    <d v="2025-06-27T00:00:00"/>
    <n v="14"/>
    <n v="20852"/>
    <s v="John"/>
    <n v="291928"/>
    <x v="11"/>
  </r>
  <r>
    <n v="1027"/>
    <x v="6"/>
    <x v="0"/>
    <x v="0"/>
    <d v="2023-12-08T00:00:00"/>
    <n v="49"/>
    <n v="12097"/>
    <s v="Sakshi"/>
    <n v="592753"/>
    <x v="7"/>
  </r>
  <r>
    <n v="1012"/>
    <x v="0"/>
    <x v="1"/>
    <x v="3"/>
    <d v="2024-06-29T00:00:00"/>
    <n v="34"/>
    <n v="27769"/>
    <s v="Amit"/>
    <n v="944146"/>
    <x v="11"/>
  </r>
  <r>
    <n v="1046"/>
    <x v="8"/>
    <x v="0"/>
    <x v="2"/>
    <d v="2024-10-24T00:00:00"/>
    <n v="48"/>
    <n v="42836"/>
    <s v="Sakshi"/>
    <n v="2056128"/>
    <x v="10"/>
  </r>
  <r>
    <n v="1023"/>
    <x v="7"/>
    <x v="0"/>
    <x v="3"/>
    <d v="2023-08-21T00:00:00"/>
    <n v="3"/>
    <n v="27729"/>
    <s v="Amit"/>
    <n v="83187"/>
    <x v="6"/>
  </r>
  <r>
    <n v="1015"/>
    <x v="1"/>
    <x v="1"/>
    <x v="3"/>
    <d v="2023-12-07T00:00:00"/>
    <n v="44"/>
    <n v="29216"/>
    <s v="Amit"/>
    <n v="1285504"/>
    <x v="7"/>
  </r>
  <r>
    <n v="1035"/>
    <x v="5"/>
    <x v="0"/>
    <x v="3"/>
    <d v="2025-02-09T00:00:00"/>
    <n v="17"/>
    <n v="6928"/>
    <s v="Arjun"/>
    <n v="117776"/>
    <x v="3"/>
  </r>
  <r>
    <n v="1041"/>
    <x v="0"/>
    <x v="0"/>
    <x v="0"/>
    <d v="2025-08-15T00:00:00"/>
    <n v="48"/>
    <n v="34300"/>
    <s v="Fatima"/>
    <n v="1646400"/>
    <x v="6"/>
  </r>
  <r>
    <n v="1043"/>
    <x v="4"/>
    <x v="1"/>
    <x v="3"/>
    <d v="2025-03-29T00:00:00"/>
    <n v="35"/>
    <n v="18798"/>
    <s v="Fatima"/>
    <n v="657930"/>
    <x v="4"/>
  </r>
  <r>
    <n v="1003"/>
    <x v="1"/>
    <x v="0"/>
    <x v="1"/>
    <d v="2025-02-28T00:00:00"/>
    <n v="49"/>
    <n v="30152"/>
    <s v="Arjun"/>
    <n v="1477448"/>
    <x v="3"/>
  </r>
  <r>
    <n v="1015"/>
    <x v="9"/>
    <x v="0"/>
    <x v="2"/>
    <d v="2023-07-22T00:00:00"/>
    <n v="33"/>
    <n v="49994"/>
    <s v="Amit"/>
    <n v="1649802"/>
    <x v="5"/>
  </r>
  <r>
    <n v="1005"/>
    <x v="6"/>
    <x v="0"/>
    <x v="3"/>
    <d v="2024-03-08T00:00:00"/>
    <n v="37"/>
    <n v="1913"/>
    <s v="Neha"/>
    <n v="70781"/>
    <x v="4"/>
  </r>
  <r>
    <n v="1028"/>
    <x v="9"/>
    <x v="0"/>
    <x v="2"/>
    <d v="2023-12-02T00:00:00"/>
    <n v="33"/>
    <n v="18331"/>
    <s v="Fatima"/>
    <n v="604923"/>
    <x v="7"/>
  </r>
  <r>
    <n v="1040"/>
    <x v="7"/>
    <x v="1"/>
    <x v="1"/>
    <d v="2025-01-25T00:00:00"/>
    <n v="48"/>
    <n v="39393"/>
    <s v="Sakshi"/>
    <n v="1890864"/>
    <x v="8"/>
  </r>
  <r>
    <n v="1010"/>
    <x v="2"/>
    <x v="1"/>
    <x v="1"/>
    <d v="2024-11-21T00:00:00"/>
    <n v="23"/>
    <n v="32958"/>
    <s v="Carlos"/>
    <n v="758034"/>
    <x v="0"/>
  </r>
  <r>
    <n v="1046"/>
    <x v="4"/>
    <x v="1"/>
    <x v="1"/>
    <d v="2024-06-23T00:00:00"/>
    <n v="28"/>
    <n v="640"/>
    <s v="Arjun"/>
    <n v="17920"/>
    <x v="11"/>
  </r>
  <r>
    <n v="1022"/>
    <x v="4"/>
    <x v="1"/>
    <x v="1"/>
    <d v="2025-05-23T00:00:00"/>
    <n v="17"/>
    <n v="1819"/>
    <s v="Carlos"/>
    <n v="30923"/>
    <x v="9"/>
  </r>
  <r>
    <n v="1003"/>
    <x v="4"/>
    <x v="1"/>
    <x v="2"/>
    <d v="2025-05-19T00:00:00"/>
    <n v="12"/>
    <n v="38930"/>
    <s v="Arjun"/>
    <n v="467160"/>
    <x v="9"/>
  </r>
  <r>
    <n v="1039"/>
    <x v="0"/>
    <x v="1"/>
    <x v="3"/>
    <d v="2024-12-10T00:00:00"/>
    <n v="9"/>
    <n v="48057"/>
    <s v="Arjun"/>
    <n v="432513"/>
    <x v="7"/>
  </r>
  <r>
    <n v="1038"/>
    <x v="4"/>
    <x v="0"/>
    <x v="0"/>
    <d v="2023-08-09T00:00:00"/>
    <n v="9"/>
    <n v="34350"/>
    <s v="Carlos"/>
    <n v="309150"/>
    <x v="6"/>
  </r>
  <r>
    <n v="1036"/>
    <x v="1"/>
    <x v="0"/>
    <x v="3"/>
    <d v="2024-05-11T00:00:00"/>
    <n v="11"/>
    <n v="21909"/>
    <s v="Neha"/>
    <n v="240999"/>
    <x v="9"/>
  </r>
  <r>
    <n v="1044"/>
    <x v="7"/>
    <x v="0"/>
    <x v="3"/>
    <d v="2025-08-27T00:00:00"/>
    <n v="30"/>
    <n v="17937"/>
    <s v="John"/>
    <n v="538110"/>
    <x v="6"/>
  </r>
  <r>
    <n v="1002"/>
    <x v="3"/>
    <x v="0"/>
    <x v="2"/>
    <d v="2024-03-06T00:00:00"/>
    <n v="18"/>
    <n v="1824"/>
    <s v="Carlos"/>
    <n v="32832"/>
    <x v="4"/>
  </r>
  <r>
    <n v="1025"/>
    <x v="7"/>
    <x v="0"/>
    <x v="3"/>
    <d v="2024-01-01T00:00:00"/>
    <n v="48"/>
    <n v="29220"/>
    <s v="Amit"/>
    <n v="1402560"/>
    <x v="8"/>
  </r>
  <r>
    <n v="1038"/>
    <x v="4"/>
    <x v="1"/>
    <x v="1"/>
    <d v="2025-12-23T00:00:00"/>
    <n v="17"/>
    <n v="2610"/>
    <s v="Sakshi"/>
    <n v="44370"/>
    <x v="7"/>
  </r>
  <r>
    <n v="1030"/>
    <x v="2"/>
    <x v="1"/>
    <x v="2"/>
    <d v="2023-10-12T00:00:00"/>
    <n v="18"/>
    <n v="25791"/>
    <s v="Neha"/>
    <n v="464238"/>
    <x v="10"/>
  </r>
  <r>
    <n v="1006"/>
    <x v="6"/>
    <x v="1"/>
    <x v="0"/>
    <d v="2025-07-31T00:00:00"/>
    <n v="47"/>
    <n v="47422"/>
    <s v="Arjun"/>
    <n v="2228834"/>
    <x v="5"/>
  </r>
  <r>
    <n v="1015"/>
    <x v="4"/>
    <x v="0"/>
    <x v="2"/>
    <d v="2025-10-07T00:00:00"/>
    <n v="37"/>
    <n v="31472"/>
    <s v="Fatima"/>
    <n v="1164464"/>
    <x v="10"/>
  </r>
  <r>
    <n v="1021"/>
    <x v="6"/>
    <x v="1"/>
    <x v="2"/>
    <d v="2024-06-10T00:00:00"/>
    <n v="14"/>
    <n v="22905"/>
    <s v="Carlos"/>
    <n v="320670"/>
    <x v="11"/>
  </r>
  <r>
    <n v="1020"/>
    <x v="2"/>
    <x v="1"/>
    <x v="0"/>
    <d v="2023-06-15T00:00:00"/>
    <n v="15"/>
    <n v="38130"/>
    <s v="Carlos"/>
    <n v="57195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FD197-CF15-47D9-B3BE-152C10070DB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:B12" firstHeaderRow="1" firstDataRow="1" firstDataCol="1"/>
  <pivotFields count="9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numFmtId="164"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01F02-AE0F-4F0F-A607-5A06637FECEE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:B20" firstHeaderRow="1" firstDataRow="1" firstDataCol="1"/>
  <pivotFields count="10"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axis="axisRow" showAll="0">
      <items count="13">
        <item x="8"/>
        <item x="3"/>
        <item x="4"/>
        <item x="1"/>
        <item x="9"/>
        <item x="11"/>
        <item x="5"/>
        <item x="6"/>
        <item x="2"/>
        <item x="10"/>
        <item x="0"/>
        <item x="7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781C2-F1F3-4FAB-9BE1-61C57F2E183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Name">
  <location ref="A11:B17" firstHeaderRow="1" firstDataRow="1" firstDataCol="1"/>
  <pivotFields count="10">
    <pivotField showAll="0"/>
    <pivotField axis="axisRow" showAll="0" measureFilter="1">
      <items count="11">
        <item x="1"/>
        <item x="0"/>
        <item x="8"/>
        <item x="9"/>
        <item x="7"/>
        <item x="4"/>
        <item x="5"/>
        <item x="3"/>
        <item x="6"/>
        <item x="2"/>
        <item t="default"/>
      </items>
    </pivotField>
    <pivotField showAll="0"/>
    <pivotField showAll="0"/>
    <pivotField numFmtId="164"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2"/>
    </i>
    <i>
      <x v="3"/>
    </i>
    <i>
      <x v="4"/>
    </i>
    <i>
      <x v="8"/>
    </i>
    <i t="grand">
      <x/>
    </i>
  </rowItems>
  <colItems count="1">
    <i/>
  </colItems>
  <dataFields count="1">
    <dataField name="Sum of Units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7C1C2-A78D-498E-8906-B90B497AA890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:B14" firstHeaderRow="1" firstDataRow="1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Sales" fld="8" showDataAs="percentOfTotal" baseField="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EEEC1-E800-4EE6-BC55-F6FB42E5572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:D13" firstHeaderRow="1" firstDataRow="2" firstDataCol="1"/>
  <pivotFields count="10"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numFmtId="164"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Sales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E5AD1-74CC-43F4-AA35-B04C40FC0277}" name="Table1" displayName="Table1" ref="B4:C5" totalsRowShown="0" headerRowDxfId="11">
  <autoFilter ref="B4:C5" xr:uid="{26AE5AD1-74CC-43F4-AA35-B04C40FC0277}"/>
  <tableColumns count="2">
    <tableColumn id="1" xr3:uid="{78F4827B-7091-43F2-8ACE-E8CE78B7A434}" name="product_id"/>
    <tableColumn id="2" xr3:uid="{65E604B2-C3C1-4355-A64C-B4EEB7AA1F5F}" name="xlookup_value">
      <calculatedColumnFormula>_xlfn.XLOOKUP(Table1[[#This Row],[product_id]],Sales_dates!$A$1:$A$501, Sales_dates!$G$1:$G$501)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14C23F-C288-4E0D-9823-89DFFB487796}" name="Table2" displayName="Table2" ref="A1:J501" totalsRowShown="0" headerRowDxfId="0" dataDxfId="1">
  <autoFilter ref="A1:J501" xr:uid="{7414C23F-C288-4E0D-9823-89DFFB487796}"/>
  <tableColumns count="10">
    <tableColumn id="1" xr3:uid="{8A6D3181-E16A-47AA-A4B6-69B078FB36EB}" name="ProductID" dataDxfId="10"/>
    <tableColumn id="2" xr3:uid="{8E571A5F-E4A0-4692-8992-8BAE14BAE20B}" name="ProductName" dataDxfId="9"/>
    <tableColumn id="3" xr3:uid="{B46D6CBF-1BB0-4005-8EA3-88A167E2C6BF}" name="Category" dataDxfId="8"/>
    <tableColumn id="4" xr3:uid="{377647CD-7451-4D44-9A3C-BAA4BE9ACEC9}" name="Region" dataDxfId="7"/>
    <tableColumn id="5" xr3:uid="{BB0FC8C2-AC55-4093-B98F-CD47220C9A3E}" name="Date" dataDxfId="6"/>
    <tableColumn id="6" xr3:uid="{BA693299-238D-433E-B4FE-A622405928D2}" name="UnitsSold" dataDxfId="5"/>
    <tableColumn id="7" xr3:uid="{228B5AAF-8E85-4BD5-988D-7EFD173FD0A4}" name="UnitPrice" dataDxfId="4"/>
    <tableColumn id="8" xr3:uid="{AB8257D0-A753-4B8F-800F-AE4E2581D688}" name="Salesperson" dataDxfId="3"/>
    <tableColumn id="9" xr3:uid="{8C96A3C7-340C-4B0F-9E53-DC49519119C9}" name="TotalSales" dataDxfId="2"/>
    <tableColumn id="10" xr3:uid="{74CF3A08-A436-4774-82C6-00AE61D5B930}" name="Month">
      <calculatedColumnFormula>TEXT(E2,"mmmm")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E3E6-934A-4902-B765-484CC94CD830}">
  <dimension ref="A2:N23"/>
  <sheetViews>
    <sheetView tabSelected="1" workbookViewId="0">
      <selection activeCell="M7" sqref="M7"/>
    </sheetView>
  </sheetViews>
  <sheetFormatPr defaultRowHeight="13.2" x14ac:dyDescent="0.25"/>
  <cols>
    <col min="1" max="1" width="13.33203125" bestFit="1" customWidth="1"/>
    <col min="2" max="2" width="16.77734375" bestFit="1" customWidth="1"/>
  </cols>
  <sheetData>
    <row r="2" spans="1:14" ht="13.8" x14ac:dyDescent="0.25">
      <c r="A2" s="15" t="s">
        <v>52</v>
      </c>
      <c r="B2" s="9" t="s">
        <v>53</v>
      </c>
    </row>
    <row r="3" spans="1:14" ht="13.8" x14ac:dyDescent="0.25">
      <c r="A3" s="15"/>
      <c r="B3" s="9"/>
    </row>
    <row r="4" spans="1:14" ht="13.8" x14ac:dyDescent="0.25">
      <c r="A4" s="14" t="s">
        <v>54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13.8" x14ac:dyDescent="0.25">
      <c r="A5" s="15"/>
      <c r="B5" s="9"/>
    </row>
    <row r="7" spans="1:14" x14ac:dyDescent="0.25">
      <c r="A7" s="3" t="s">
        <v>33</v>
      </c>
      <c r="B7" t="s">
        <v>35</v>
      </c>
    </row>
    <row r="8" spans="1:14" x14ac:dyDescent="0.25">
      <c r="A8" s="4" t="s">
        <v>15</v>
      </c>
      <c r="B8" s="5">
        <v>86776563</v>
      </c>
    </row>
    <row r="9" spans="1:14" x14ac:dyDescent="0.25">
      <c r="A9" s="4" t="s">
        <v>18</v>
      </c>
      <c r="B9" s="5">
        <v>78697011</v>
      </c>
    </row>
    <row r="10" spans="1:14" x14ac:dyDescent="0.25">
      <c r="A10" s="4" t="s">
        <v>11</v>
      </c>
      <c r="B10" s="5">
        <v>76461335</v>
      </c>
    </row>
    <row r="11" spans="1:14" x14ac:dyDescent="0.25">
      <c r="A11" s="4" t="s">
        <v>21</v>
      </c>
      <c r="B11" s="5">
        <v>75346038</v>
      </c>
    </row>
    <row r="12" spans="1:14" x14ac:dyDescent="0.25">
      <c r="A12" s="4" t="s">
        <v>34</v>
      </c>
      <c r="B12" s="5">
        <v>317280947</v>
      </c>
    </row>
    <row r="21" spans="2:12" x14ac:dyDescent="0.25">
      <c r="B21" s="6" t="s">
        <v>51</v>
      </c>
    </row>
    <row r="22" spans="2:12" x14ac:dyDescent="0.25">
      <c r="B22" s="17">
        <v>1</v>
      </c>
      <c r="C22" s="13" t="s">
        <v>55</v>
      </c>
      <c r="D22" s="13"/>
      <c r="E22" s="13"/>
      <c r="F22" s="13"/>
      <c r="G22" s="13"/>
      <c r="H22" s="13"/>
      <c r="I22" s="11"/>
    </row>
    <row r="23" spans="2:12" x14ac:dyDescent="0.25">
      <c r="B23" s="12">
        <v>2</v>
      </c>
      <c r="C23" s="13" t="s">
        <v>56</v>
      </c>
      <c r="D23" s="13"/>
      <c r="E23" s="13"/>
      <c r="F23" s="13"/>
      <c r="G23" s="13"/>
      <c r="H23" s="13"/>
      <c r="I23" s="11"/>
      <c r="J23" s="11"/>
      <c r="K23" s="11"/>
      <c r="L23" s="1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18E6-65FE-4785-8A95-DF5267EEE103}">
  <dimension ref="A2:O25"/>
  <sheetViews>
    <sheetView workbookViewId="0">
      <selection activeCell="C24" sqref="C24"/>
    </sheetView>
  </sheetViews>
  <sheetFormatPr defaultRowHeight="13.2" x14ac:dyDescent="0.25"/>
  <cols>
    <col min="1" max="1" width="13.33203125" bestFit="1" customWidth="1"/>
    <col min="2" max="2" width="16.77734375" bestFit="1" customWidth="1"/>
  </cols>
  <sheetData>
    <row r="2" spans="1:2" ht="13.8" x14ac:dyDescent="0.25">
      <c r="A2" s="9" t="s">
        <v>57</v>
      </c>
      <c r="B2" s="9" t="s">
        <v>58</v>
      </c>
    </row>
    <row r="4" spans="1:2" x14ac:dyDescent="0.25">
      <c r="A4" s="6" t="s">
        <v>54</v>
      </c>
    </row>
    <row r="7" spans="1:2" x14ac:dyDescent="0.25">
      <c r="A7" s="3" t="s">
        <v>33</v>
      </c>
      <c r="B7" t="s">
        <v>35</v>
      </c>
    </row>
    <row r="8" spans="1:2" x14ac:dyDescent="0.25">
      <c r="A8" s="4" t="s">
        <v>37</v>
      </c>
      <c r="B8" s="5">
        <v>23617732</v>
      </c>
    </row>
    <row r="9" spans="1:2" x14ac:dyDescent="0.25">
      <c r="A9" s="4" t="s">
        <v>38</v>
      </c>
      <c r="B9" s="5">
        <v>21132379</v>
      </c>
    </row>
    <row r="10" spans="1:2" x14ac:dyDescent="0.25">
      <c r="A10" s="4" t="s">
        <v>39</v>
      </c>
      <c r="B10" s="5">
        <v>32213079</v>
      </c>
    </row>
    <row r="11" spans="1:2" x14ac:dyDescent="0.25">
      <c r="A11" s="4" t="s">
        <v>40</v>
      </c>
      <c r="B11" s="5">
        <v>27861150</v>
      </c>
    </row>
    <row r="12" spans="1:2" x14ac:dyDescent="0.25">
      <c r="A12" s="4" t="s">
        <v>41</v>
      </c>
      <c r="B12" s="5">
        <v>27708048</v>
      </c>
    </row>
    <row r="13" spans="1:2" x14ac:dyDescent="0.25">
      <c r="A13" s="4" t="s">
        <v>42</v>
      </c>
      <c r="B13" s="5">
        <v>23045377</v>
      </c>
    </row>
    <row r="14" spans="1:2" x14ac:dyDescent="0.25">
      <c r="A14" s="4" t="s">
        <v>43</v>
      </c>
      <c r="B14" s="5">
        <v>32768203</v>
      </c>
    </row>
    <row r="15" spans="1:2" x14ac:dyDescent="0.25">
      <c r="A15" s="4" t="s">
        <v>44</v>
      </c>
      <c r="B15" s="5">
        <v>28733430</v>
      </c>
    </row>
    <row r="16" spans="1:2" x14ac:dyDescent="0.25">
      <c r="A16" s="4" t="s">
        <v>45</v>
      </c>
      <c r="B16" s="5">
        <v>20883898</v>
      </c>
    </row>
    <row r="17" spans="1:15" x14ac:dyDescent="0.25">
      <c r="A17" s="4" t="s">
        <v>46</v>
      </c>
      <c r="B17" s="5">
        <v>27277924</v>
      </c>
    </row>
    <row r="18" spans="1:15" x14ac:dyDescent="0.25">
      <c r="A18" s="4" t="s">
        <v>47</v>
      </c>
      <c r="B18" s="5">
        <v>18821255</v>
      </c>
    </row>
    <row r="19" spans="1:15" x14ac:dyDescent="0.25">
      <c r="A19" s="4" t="s">
        <v>48</v>
      </c>
      <c r="B19" s="5">
        <v>33218472</v>
      </c>
    </row>
    <row r="20" spans="1:15" x14ac:dyDescent="0.25">
      <c r="A20" s="4" t="s">
        <v>34</v>
      </c>
      <c r="B20" s="5">
        <v>317280947</v>
      </c>
    </row>
    <row r="23" spans="1:15" x14ac:dyDescent="0.25">
      <c r="B23" s="6" t="s">
        <v>51</v>
      </c>
    </row>
    <row r="24" spans="1:15" x14ac:dyDescent="0.25">
      <c r="B24" s="12">
        <v>1</v>
      </c>
      <c r="C24" s="13" t="s">
        <v>49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x14ac:dyDescent="0.25">
      <c r="B25" s="12">
        <v>2</v>
      </c>
      <c r="C25" s="13" t="s">
        <v>50</v>
      </c>
      <c r="D25" s="13"/>
      <c r="E25" s="13"/>
      <c r="F25" s="13"/>
      <c r="G25" s="13"/>
      <c r="H25" s="13"/>
      <c r="I25" s="13"/>
      <c r="J25" s="13"/>
      <c r="K25" s="1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8283-9587-42F7-8CA6-749FB8A90670}">
  <dimension ref="A2:Q27"/>
  <sheetViews>
    <sheetView topLeftCell="A10" workbookViewId="0">
      <selection activeCell="H8" sqref="H8"/>
    </sheetView>
  </sheetViews>
  <sheetFormatPr defaultRowHeight="13.2" x14ac:dyDescent="0.25"/>
  <cols>
    <col min="1" max="1" width="15.109375" bestFit="1" customWidth="1"/>
    <col min="2" max="2" width="16.21875" bestFit="1" customWidth="1"/>
  </cols>
  <sheetData>
    <row r="2" spans="1:5" ht="13.8" x14ac:dyDescent="0.25">
      <c r="A2" s="9" t="s">
        <v>60</v>
      </c>
      <c r="B2" s="9" t="s">
        <v>61</v>
      </c>
    </row>
    <row r="4" spans="1:5" x14ac:dyDescent="0.25">
      <c r="A4" s="6" t="s">
        <v>62</v>
      </c>
      <c r="B4" s="18" t="s">
        <v>66</v>
      </c>
      <c r="C4" s="18"/>
      <c r="D4" s="18"/>
      <c r="E4" s="18"/>
    </row>
    <row r="5" spans="1:5" x14ac:dyDescent="0.25">
      <c r="A5" s="6"/>
      <c r="B5" s="18" t="s">
        <v>67</v>
      </c>
      <c r="C5" s="18"/>
      <c r="D5" s="18"/>
      <c r="E5" s="18"/>
    </row>
    <row r="6" spans="1:5" x14ac:dyDescent="0.25">
      <c r="A6" s="6"/>
      <c r="B6" s="18" t="s">
        <v>68</v>
      </c>
      <c r="C6" s="18"/>
      <c r="D6" s="18"/>
      <c r="E6" s="18"/>
    </row>
    <row r="7" spans="1:5" x14ac:dyDescent="0.25">
      <c r="A7" s="6"/>
      <c r="B7" s="18" t="s">
        <v>69</v>
      </c>
      <c r="C7" s="18"/>
      <c r="D7" s="18"/>
      <c r="E7" s="18"/>
    </row>
    <row r="8" spans="1:5" x14ac:dyDescent="0.25">
      <c r="A8" s="6"/>
      <c r="B8" s="18" t="s">
        <v>70</v>
      </c>
      <c r="C8" s="18"/>
      <c r="D8" s="18"/>
      <c r="E8" s="18"/>
    </row>
    <row r="9" spans="1:5" x14ac:dyDescent="0.25">
      <c r="A9" s="6"/>
    </row>
    <row r="11" spans="1:5" x14ac:dyDescent="0.25">
      <c r="A11" s="3" t="s">
        <v>1</v>
      </c>
      <c r="B11" t="s">
        <v>59</v>
      </c>
    </row>
    <row r="12" spans="1:5" x14ac:dyDescent="0.25">
      <c r="A12" s="4" t="s">
        <v>13</v>
      </c>
      <c r="B12" s="5">
        <v>1520</v>
      </c>
    </row>
    <row r="13" spans="1:5" x14ac:dyDescent="0.25">
      <c r="A13" s="4" t="s">
        <v>31</v>
      </c>
      <c r="B13" s="5">
        <v>1402</v>
      </c>
    </row>
    <row r="14" spans="1:5" x14ac:dyDescent="0.25">
      <c r="A14" s="4" t="s">
        <v>32</v>
      </c>
      <c r="B14" s="5">
        <v>1399</v>
      </c>
    </row>
    <row r="15" spans="1:5" x14ac:dyDescent="0.25">
      <c r="A15" s="4" t="s">
        <v>27</v>
      </c>
      <c r="B15" s="5">
        <v>1405</v>
      </c>
    </row>
    <row r="16" spans="1:5" x14ac:dyDescent="0.25">
      <c r="A16" s="4" t="s">
        <v>25</v>
      </c>
      <c r="B16" s="5">
        <v>1348</v>
      </c>
    </row>
    <row r="17" spans="1:17" x14ac:dyDescent="0.25">
      <c r="A17" s="4" t="s">
        <v>34</v>
      </c>
      <c r="B17" s="5">
        <v>7074</v>
      </c>
    </row>
    <row r="24" spans="1:17" x14ac:dyDescent="0.25">
      <c r="B24" s="6" t="s">
        <v>51</v>
      </c>
    </row>
    <row r="25" spans="1:17" x14ac:dyDescent="0.25">
      <c r="B25" s="12">
        <v>1</v>
      </c>
      <c r="C25" s="13" t="s">
        <v>63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0"/>
      <c r="P25" s="7"/>
      <c r="Q25" s="7"/>
    </row>
    <row r="26" spans="1:17" x14ac:dyDescent="0.25">
      <c r="B26" s="12">
        <v>2</v>
      </c>
      <c r="C26" s="13" t="s">
        <v>64</v>
      </c>
      <c r="D26" s="13"/>
      <c r="E26" s="13"/>
      <c r="F26" s="13"/>
      <c r="G26" s="13"/>
      <c r="H26" s="13"/>
      <c r="I26" s="13"/>
      <c r="J26" s="6"/>
      <c r="K26" s="6"/>
      <c r="L26" s="6"/>
      <c r="M26" s="6"/>
      <c r="N26" s="6"/>
      <c r="O26" s="7"/>
      <c r="P26" s="7"/>
      <c r="Q26" s="7"/>
    </row>
    <row r="27" spans="1:17" x14ac:dyDescent="0.25">
      <c r="B27" s="12">
        <v>3</v>
      </c>
      <c r="C27" s="13" t="s">
        <v>65</v>
      </c>
      <c r="D27" s="13"/>
      <c r="E27" s="13"/>
      <c r="F27" s="13"/>
      <c r="G27" s="13"/>
      <c r="H27" s="13"/>
      <c r="I27" s="13"/>
      <c r="J27" s="13"/>
      <c r="K27" s="13"/>
      <c r="L27" s="13"/>
      <c r="M27" s="6"/>
      <c r="N27" s="6"/>
      <c r="O27" s="7"/>
      <c r="P27" s="7"/>
      <c r="Q27" s="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9FDC-F321-4132-8118-1943D851D4BA}">
  <dimension ref="A2:L24"/>
  <sheetViews>
    <sheetView workbookViewId="0">
      <selection activeCell="L14" sqref="L14"/>
    </sheetView>
  </sheetViews>
  <sheetFormatPr defaultRowHeight="13.2" x14ac:dyDescent="0.25"/>
  <cols>
    <col min="1" max="1" width="13.33203125" bestFit="1" customWidth="1"/>
    <col min="2" max="2" width="16.77734375" bestFit="1" customWidth="1"/>
  </cols>
  <sheetData>
    <row r="2" spans="1:7" ht="13.8" x14ac:dyDescent="0.25">
      <c r="A2" s="9" t="s">
        <v>71</v>
      </c>
      <c r="B2" s="9" t="s">
        <v>72</v>
      </c>
    </row>
    <row r="4" spans="1:7" x14ac:dyDescent="0.25">
      <c r="A4" s="6" t="s">
        <v>62</v>
      </c>
      <c r="B4" s="7" t="s">
        <v>73</v>
      </c>
    </row>
    <row r="5" spans="1:7" x14ac:dyDescent="0.25">
      <c r="A5" s="6"/>
      <c r="B5" s="7"/>
      <c r="C5" s="18" t="s">
        <v>74</v>
      </c>
      <c r="D5" s="18"/>
      <c r="E5" s="18"/>
      <c r="F5" s="18"/>
      <c r="G5" s="18"/>
    </row>
    <row r="6" spans="1:7" x14ac:dyDescent="0.25">
      <c r="C6" s="18" t="s">
        <v>75</v>
      </c>
      <c r="D6" s="18"/>
      <c r="E6" s="18"/>
      <c r="F6" s="18"/>
      <c r="G6" s="18"/>
    </row>
    <row r="7" spans="1:7" x14ac:dyDescent="0.25">
      <c r="C7" s="18" t="s">
        <v>76</v>
      </c>
      <c r="D7" s="18"/>
      <c r="E7" s="18"/>
      <c r="F7" s="18"/>
      <c r="G7" s="18"/>
    </row>
    <row r="8" spans="1:7" x14ac:dyDescent="0.25">
      <c r="C8" s="18" t="s">
        <v>77</v>
      </c>
      <c r="D8" s="18"/>
      <c r="E8" s="18"/>
      <c r="F8" s="18"/>
      <c r="G8" s="18"/>
    </row>
    <row r="11" spans="1:7" x14ac:dyDescent="0.25">
      <c r="A11" s="3" t="s">
        <v>33</v>
      </c>
      <c r="B11" t="s">
        <v>35</v>
      </c>
    </row>
    <row r="12" spans="1:7" x14ac:dyDescent="0.25">
      <c r="A12" s="4" t="s">
        <v>10</v>
      </c>
      <c r="B12" s="19">
        <v>0.48711360849537555</v>
      </c>
    </row>
    <row r="13" spans="1:7" x14ac:dyDescent="0.25">
      <c r="A13" s="4" t="s">
        <v>14</v>
      </c>
      <c r="B13" s="19">
        <v>0.51288639150462445</v>
      </c>
    </row>
    <row r="14" spans="1:7" x14ac:dyDescent="0.25">
      <c r="A14" s="4" t="s">
        <v>34</v>
      </c>
      <c r="B14" s="19">
        <v>1</v>
      </c>
    </row>
    <row r="23" spans="2:12" x14ac:dyDescent="0.25">
      <c r="B23" s="6" t="s">
        <v>51</v>
      </c>
    </row>
    <row r="24" spans="2:12" x14ac:dyDescent="0.25">
      <c r="B24" s="12">
        <v>1</v>
      </c>
      <c r="C24" s="13" t="s">
        <v>78</v>
      </c>
      <c r="D24" s="13"/>
      <c r="E24" s="13"/>
      <c r="F24" s="13"/>
      <c r="G24" s="13"/>
      <c r="H24" s="13"/>
      <c r="I24" s="13"/>
      <c r="J24" s="13"/>
      <c r="K24" s="13"/>
      <c r="L24" s="1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862E-AE0C-4BE4-AC3F-8A24850CB114}">
  <dimension ref="A2:H23"/>
  <sheetViews>
    <sheetView workbookViewId="0">
      <selection activeCell="E29" sqref="E29"/>
    </sheetView>
  </sheetViews>
  <sheetFormatPr defaultRowHeight="13.2" x14ac:dyDescent="0.25"/>
  <cols>
    <col min="1" max="1" width="16.77734375" bestFit="1" customWidth="1"/>
    <col min="2" max="2" width="16.21875" bestFit="1" customWidth="1"/>
    <col min="3" max="3" width="10.77734375" bestFit="1" customWidth="1"/>
    <col min="4" max="4" width="11.33203125" bestFit="1" customWidth="1"/>
  </cols>
  <sheetData>
    <row r="2" spans="1:4" ht="13.8" x14ac:dyDescent="0.25">
      <c r="A2" s="9" t="s">
        <v>80</v>
      </c>
      <c r="B2" s="9" t="s">
        <v>81</v>
      </c>
    </row>
    <row r="4" spans="1:4" x14ac:dyDescent="0.25">
      <c r="A4" s="6" t="s">
        <v>62</v>
      </c>
    </row>
    <row r="7" spans="1:4" x14ac:dyDescent="0.25">
      <c r="A7" s="3" t="s">
        <v>35</v>
      </c>
      <c r="B7" s="3" t="s">
        <v>79</v>
      </c>
    </row>
    <row r="8" spans="1:4" x14ac:dyDescent="0.25">
      <c r="A8" s="3" t="s">
        <v>33</v>
      </c>
      <c r="B8" t="s">
        <v>10</v>
      </c>
      <c r="C8" t="s">
        <v>14</v>
      </c>
      <c r="D8" t="s">
        <v>34</v>
      </c>
    </row>
    <row r="9" spans="1:4" x14ac:dyDescent="0.25">
      <c r="A9" s="4" t="s">
        <v>15</v>
      </c>
      <c r="B9" s="5">
        <v>42021901</v>
      </c>
      <c r="C9" s="5">
        <v>44754662</v>
      </c>
      <c r="D9" s="5">
        <v>86776563</v>
      </c>
    </row>
    <row r="10" spans="1:4" x14ac:dyDescent="0.25">
      <c r="A10" s="4" t="s">
        <v>18</v>
      </c>
      <c r="B10" s="5">
        <v>39373238</v>
      </c>
      <c r="C10" s="5">
        <v>39323773</v>
      </c>
      <c r="D10" s="5">
        <v>78697011</v>
      </c>
    </row>
    <row r="11" spans="1:4" x14ac:dyDescent="0.25">
      <c r="A11" s="4" t="s">
        <v>11</v>
      </c>
      <c r="B11" s="5">
        <v>40110811</v>
      </c>
      <c r="C11" s="5">
        <v>36350524</v>
      </c>
      <c r="D11" s="5">
        <v>76461335</v>
      </c>
    </row>
    <row r="12" spans="1:4" x14ac:dyDescent="0.25">
      <c r="A12" s="4" t="s">
        <v>21</v>
      </c>
      <c r="B12" s="5">
        <v>33045917</v>
      </c>
      <c r="C12" s="5">
        <v>42300121</v>
      </c>
      <c r="D12" s="5">
        <v>75346038</v>
      </c>
    </row>
    <row r="13" spans="1:4" x14ac:dyDescent="0.25">
      <c r="A13" s="4" t="s">
        <v>34</v>
      </c>
      <c r="B13" s="5">
        <v>154551867</v>
      </c>
      <c r="C13" s="5">
        <v>162729080</v>
      </c>
      <c r="D13" s="5">
        <v>317280947</v>
      </c>
    </row>
    <row r="22" spans="2:8" x14ac:dyDescent="0.25">
      <c r="B22" s="6" t="s">
        <v>51</v>
      </c>
    </row>
    <row r="23" spans="2:8" x14ac:dyDescent="0.25">
      <c r="B23" s="12">
        <v>1</v>
      </c>
      <c r="C23" s="13" t="s">
        <v>82</v>
      </c>
      <c r="D23" s="13"/>
      <c r="E23" s="13"/>
      <c r="F23" s="13"/>
      <c r="G23" s="13"/>
      <c r="H23" s="1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E961-710C-4ED4-8D9E-35284774CF13}">
  <dimension ref="A2:F23"/>
  <sheetViews>
    <sheetView workbookViewId="0">
      <selection activeCell="M13" sqref="M13"/>
    </sheetView>
  </sheetViews>
  <sheetFormatPr defaultRowHeight="13.2" x14ac:dyDescent="0.25"/>
  <cols>
    <col min="1" max="1" width="12.77734375" customWidth="1"/>
    <col min="2" max="2" width="17.109375" customWidth="1"/>
    <col min="3" max="3" width="15.5546875" customWidth="1"/>
  </cols>
  <sheetData>
    <row r="2" spans="1:6" ht="13.8" x14ac:dyDescent="0.25">
      <c r="A2" s="9" t="s">
        <v>83</v>
      </c>
      <c r="B2" s="9" t="s">
        <v>84</v>
      </c>
      <c r="C2" s="9"/>
      <c r="D2" s="9"/>
      <c r="E2" s="9"/>
      <c r="F2" s="9"/>
    </row>
    <row r="4" spans="1:6" x14ac:dyDescent="0.25">
      <c r="A4" s="6" t="s">
        <v>54</v>
      </c>
      <c r="B4" s="7" t="s">
        <v>85</v>
      </c>
      <c r="C4" s="7" t="s">
        <v>86</v>
      </c>
    </row>
    <row r="5" spans="1:6" x14ac:dyDescent="0.25">
      <c r="B5">
        <v>1048</v>
      </c>
      <c r="C5">
        <f>_xlfn.XLOOKUP(Table1[[#This Row],[product_id]],Sales_dates!$A$1:$A$501, Sales_dates!$G$1:$G$501)</f>
        <v>40081</v>
      </c>
    </row>
    <row r="9" spans="1:6" ht="13.8" x14ac:dyDescent="0.25">
      <c r="A9" s="9" t="s">
        <v>87</v>
      </c>
      <c r="B9" s="9" t="s">
        <v>88</v>
      </c>
      <c r="C9" s="16"/>
      <c r="D9" s="16"/>
      <c r="E9" s="16"/>
      <c r="F9" s="16"/>
    </row>
    <row r="11" spans="1:6" x14ac:dyDescent="0.25">
      <c r="A11" s="6" t="s">
        <v>62</v>
      </c>
      <c r="B11" s="20">
        <f>_xlfn.MAXIFS(Sales_dates!$E$1:$E$501, Sales_dates!$H$1:$H$501, Sales_dates!$H$10)</f>
        <v>46020</v>
      </c>
      <c r="D11" s="7" t="s">
        <v>89</v>
      </c>
    </row>
    <row r="15" spans="1:6" ht="13.8" x14ac:dyDescent="0.25">
      <c r="A15" s="9" t="s">
        <v>90</v>
      </c>
      <c r="B15" s="9" t="s">
        <v>91</v>
      </c>
    </row>
    <row r="17" spans="1:3" x14ac:dyDescent="0.25">
      <c r="A17" s="6" t="s">
        <v>62</v>
      </c>
      <c r="B17" s="11" t="str" cm="1">
        <f t="array" ref="B17:C17">_xlfn.XLOOKUP(Sales_dates!$A$21, Sales_dates!$A$1:$A$501, Sales_dates!$B$1:$C$501,"Product Not Found")</f>
        <v>Laptop</v>
      </c>
      <c r="C17" s="11" t="str">
        <v>Accessories</v>
      </c>
    </row>
    <row r="21" spans="1:3" ht="13.8" x14ac:dyDescent="0.25">
      <c r="A21" s="9" t="s">
        <v>92</v>
      </c>
      <c r="B21" s="9" t="s">
        <v>93</v>
      </c>
    </row>
    <row r="23" spans="1:3" x14ac:dyDescent="0.25">
      <c r="A23" s="6" t="s">
        <v>62</v>
      </c>
      <c r="B23" s="11">
        <f>INDEX(Sales_dates!$G$1:$G$501,MATCH(Sales_dates!$B$13,Sales_dates!$B$1:$B$501,0))</f>
        <v>9628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1"/>
  <sheetViews>
    <sheetView workbookViewId="0">
      <selection activeCell="L11" sqref="L11"/>
    </sheetView>
  </sheetViews>
  <sheetFormatPr defaultColWidth="12.6640625" defaultRowHeight="15.75" customHeight="1" x14ac:dyDescent="0.25"/>
  <cols>
    <col min="2" max="2" width="14.77734375" customWidth="1"/>
    <col min="8" max="8" width="13.6640625" customWidth="1"/>
  </cols>
  <sheetData>
    <row r="1" spans="1:10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36</v>
      </c>
    </row>
    <row r="2" spans="1:10" x14ac:dyDescent="0.25">
      <c r="A2" s="1">
        <v>1033</v>
      </c>
      <c r="B2" s="1" t="s">
        <v>9</v>
      </c>
      <c r="C2" s="1" t="s">
        <v>10</v>
      </c>
      <c r="D2" s="1" t="s">
        <v>11</v>
      </c>
      <c r="E2" s="2">
        <v>45968</v>
      </c>
      <c r="F2" s="1">
        <v>29</v>
      </c>
      <c r="G2" s="1">
        <v>15742</v>
      </c>
      <c r="H2" s="1" t="s">
        <v>12</v>
      </c>
      <c r="I2" s="1">
        <v>456518</v>
      </c>
      <c r="J2" t="str">
        <f>TEXT(E2,"mmmm")</f>
        <v>November</v>
      </c>
    </row>
    <row r="3" spans="1:10" x14ac:dyDescent="0.25">
      <c r="A3" s="1">
        <v>1049</v>
      </c>
      <c r="B3" s="1" t="s">
        <v>13</v>
      </c>
      <c r="C3" s="1" t="s">
        <v>14</v>
      </c>
      <c r="D3" s="1" t="s">
        <v>15</v>
      </c>
      <c r="E3" s="2">
        <v>45033</v>
      </c>
      <c r="F3" s="1">
        <v>32</v>
      </c>
      <c r="G3" s="1">
        <v>8610</v>
      </c>
      <c r="H3" s="1" t="s">
        <v>16</v>
      </c>
      <c r="I3" s="1">
        <v>275520</v>
      </c>
      <c r="J3" t="str">
        <f t="shared" ref="J3:J66" si="0">TEXT(E3,"mmmm")</f>
        <v>April</v>
      </c>
    </row>
    <row r="4" spans="1:10" x14ac:dyDescent="0.25">
      <c r="A4" s="1">
        <v>1008</v>
      </c>
      <c r="B4" s="1" t="s">
        <v>17</v>
      </c>
      <c r="C4" s="1" t="s">
        <v>14</v>
      </c>
      <c r="D4" s="1" t="s">
        <v>18</v>
      </c>
      <c r="E4" s="2">
        <v>45023</v>
      </c>
      <c r="F4" s="1">
        <v>33</v>
      </c>
      <c r="G4" s="1">
        <v>40212</v>
      </c>
      <c r="H4" s="1" t="s">
        <v>19</v>
      </c>
      <c r="I4" s="1">
        <v>1326996</v>
      </c>
      <c r="J4" t="str">
        <f t="shared" si="0"/>
        <v>April</v>
      </c>
    </row>
    <row r="5" spans="1:10" x14ac:dyDescent="0.25">
      <c r="A5" s="1">
        <v>1040</v>
      </c>
      <c r="B5" s="1" t="s">
        <v>20</v>
      </c>
      <c r="C5" s="1" t="s">
        <v>10</v>
      </c>
      <c r="D5" s="1" t="s">
        <v>21</v>
      </c>
      <c r="E5" s="2">
        <v>45040</v>
      </c>
      <c r="F5" s="1">
        <v>6</v>
      </c>
      <c r="G5" s="1">
        <v>13976</v>
      </c>
      <c r="H5" s="1" t="s">
        <v>19</v>
      </c>
      <c r="I5" s="1">
        <v>83856</v>
      </c>
      <c r="J5" t="str">
        <f t="shared" si="0"/>
        <v>April</v>
      </c>
    </row>
    <row r="6" spans="1:10" x14ac:dyDescent="0.25">
      <c r="A6" s="1">
        <v>1016</v>
      </c>
      <c r="B6" s="1" t="s">
        <v>22</v>
      </c>
      <c r="C6" s="1" t="s">
        <v>14</v>
      </c>
      <c r="D6" s="1" t="s">
        <v>15</v>
      </c>
      <c r="E6" s="2">
        <v>45565</v>
      </c>
      <c r="F6" s="1">
        <v>15</v>
      </c>
      <c r="G6" s="1">
        <v>6762</v>
      </c>
      <c r="H6" s="1" t="s">
        <v>16</v>
      </c>
      <c r="I6" s="1">
        <v>101430</v>
      </c>
      <c r="J6" t="str">
        <f t="shared" si="0"/>
        <v>September</v>
      </c>
    </row>
    <row r="7" spans="1:10" x14ac:dyDescent="0.25">
      <c r="A7" s="1">
        <v>1038</v>
      </c>
      <c r="B7" s="1" t="s">
        <v>20</v>
      </c>
      <c r="C7" s="1" t="s">
        <v>14</v>
      </c>
      <c r="D7" s="1" t="s">
        <v>21</v>
      </c>
      <c r="E7" s="2">
        <v>44974</v>
      </c>
      <c r="F7" s="1">
        <v>4</v>
      </c>
      <c r="G7" s="1">
        <v>43236</v>
      </c>
      <c r="H7" s="1" t="s">
        <v>23</v>
      </c>
      <c r="I7" s="1">
        <v>172944</v>
      </c>
      <c r="J7" t="str">
        <f t="shared" si="0"/>
        <v>February</v>
      </c>
    </row>
    <row r="8" spans="1:10" x14ac:dyDescent="0.25">
      <c r="A8" s="1">
        <v>1044</v>
      </c>
      <c r="B8" s="1" t="s">
        <v>24</v>
      </c>
      <c r="C8" s="1" t="s">
        <v>14</v>
      </c>
      <c r="D8" s="1" t="s">
        <v>18</v>
      </c>
      <c r="E8" s="2">
        <v>45000</v>
      </c>
      <c r="F8" s="1">
        <v>31</v>
      </c>
      <c r="G8" s="1">
        <v>6822</v>
      </c>
      <c r="H8" s="1" t="s">
        <v>12</v>
      </c>
      <c r="I8" s="1">
        <v>211482</v>
      </c>
      <c r="J8" t="str">
        <f t="shared" si="0"/>
        <v>March</v>
      </c>
    </row>
    <row r="9" spans="1:10" x14ac:dyDescent="0.25">
      <c r="A9" s="1">
        <v>1041</v>
      </c>
      <c r="B9" s="1" t="s">
        <v>25</v>
      </c>
      <c r="C9" s="1" t="s">
        <v>10</v>
      </c>
      <c r="D9" s="1" t="s">
        <v>15</v>
      </c>
      <c r="E9" s="2">
        <v>45869</v>
      </c>
      <c r="F9" s="1">
        <v>15</v>
      </c>
      <c r="G9" s="1">
        <v>45111</v>
      </c>
      <c r="H9" s="1" t="s">
        <v>26</v>
      </c>
      <c r="I9" s="1">
        <v>676665</v>
      </c>
      <c r="J9" t="str">
        <f t="shared" si="0"/>
        <v>July</v>
      </c>
    </row>
    <row r="10" spans="1:10" x14ac:dyDescent="0.25">
      <c r="A10" s="1">
        <v>1034</v>
      </c>
      <c r="B10" s="1" t="s">
        <v>27</v>
      </c>
      <c r="C10" s="1" t="s">
        <v>14</v>
      </c>
      <c r="D10" s="1" t="s">
        <v>15</v>
      </c>
      <c r="E10" s="2">
        <v>45151</v>
      </c>
      <c r="F10" s="1">
        <v>33</v>
      </c>
      <c r="G10" s="1">
        <v>19336</v>
      </c>
      <c r="H10" s="1" t="s">
        <v>28</v>
      </c>
      <c r="I10" s="1">
        <v>638088</v>
      </c>
      <c r="J10" t="str">
        <f t="shared" si="0"/>
        <v>August</v>
      </c>
    </row>
    <row r="11" spans="1:10" x14ac:dyDescent="0.25">
      <c r="A11" s="1">
        <v>1006</v>
      </c>
      <c r="B11" s="1" t="s">
        <v>25</v>
      </c>
      <c r="C11" s="1" t="s">
        <v>14</v>
      </c>
      <c r="D11" s="1" t="s">
        <v>21</v>
      </c>
      <c r="E11" s="2">
        <v>45038</v>
      </c>
      <c r="F11" s="1">
        <v>47</v>
      </c>
      <c r="G11" s="1">
        <v>33985</v>
      </c>
      <c r="H11" s="1" t="s">
        <v>29</v>
      </c>
      <c r="I11" s="1">
        <v>1597295</v>
      </c>
      <c r="J11" t="str">
        <f t="shared" si="0"/>
        <v>April</v>
      </c>
    </row>
    <row r="12" spans="1:10" x14ac:dyDescent="0.25">
      <c r="A12" s="1">
        <v>1039</v>
      </c>
      <c r="B12" s="1" t="s">
        <v>17</v>
      </c>
      <c r="C12" s="1" t="s">
        <v>14</v>
      </c>
      <c r="D12" s="1" t="s">
        <v>15</v>
      </c>
      <c r="E12" s="2">
        <v>45773</v>
      </c>
      <c r="F12" s="1">
        <v>20</v>
      </c>
      <c r="G12" s="1">
        <v>24131</v>
      </c>
      <c r="H12" s="1" t="s">
        <v>30</v>
      </c>
      <c r="I12" s="1">
        <v>482620</v>
      </c>
      <c r="J12" t="str">
        <f t="shared" si="0"/>
        <v>April</v>
      </c>
    </row>
    <row r="13" spans="1:10" x14ac:dyDescent="0.25">
      <c r="A13" s="1">
        <v>1040</v>
      </c>
      <c r="B13" s="1" t="s">
        <v>31</v>
      </c>
      <c r="C13" s="1" t="s">
        <v>10</v>
      </c>
      <c r="D13" s="1" t="s">
        <v>11</v>
      </c>
      <c r="E13" s="2">
        <v>45347</v>
      </c>
      <c r="F13" s="1">
        <v>33</v>
      </c>
      <c r="G13" s="1">
        <v>9628</v>
      </c>
      <c r="H13" s="1" t="s">
        <v>19</v>
      </c>
      <c r="I13" s="1">
        <v>317724</v>
      </c>
      <c r="J13" t="str">
        <f t="shared" si="0"/>
        <v>February</v>
      </c>
    </row>
    <row r="14" spans="1:10" x14ac:dyDescent="0.25">
      <c r="A14" s="1">
        <v>1049</v>
      </c>
      <c r="B14" s="1" t="s">
        <v>32</v>
      </c>
      <c r="C14" s="1" t="s">
        <v>14</v>
      </c>
      <c r="D14" s="1" t="s">
        <v>15</v>
      </c>
      <c r="E14" s="2">
        <v>45535</v>
      </c>
      <c r="F14" s="1">
        <v>18</v>
      </c>
      <c r="G14" s="1">
        <v>17180</v>
      </c>
      <c r="H14" s="1" t="s">
        <v>16</v>
      </c>
      <c r="I14" s="1">
        <v>309240</v>
      </c>
      <c r="J14" t="str">
        <f t="shared" si="0"/>
        <v>August</v>
      </c>
    </row>
    <row r="15" spans="1:10" x14ac:dyDescent="0.25">
      <c r="A15" s="1">
        <v>1023</v>
      </c>
      <c r="B15" s="1" t="s">
        <v>27</v>
      </c>
      <c r="C15" s="1" t="s">
        <v>10</v>
      </c>
      <c r="D15" s="1" t="s">
        <v>11</v>
      </c>
      <c r="E15" s="2">
        <v>46019</v>
      </c>
      <c r="F15" s="1">
        <v>39</v>
      </c>
      <c r="G15" s="1">
        <v>7138</v>
      </c>
      <c r="H15" s="1" t="s">
        <v>23</v>
      </c>
      <c r="I15" s="1">
        <v>278382</v>
      </c>
      <c r="J15" t="str">
        <f t="shared" si="0"/>
        <v>December</v>
      </c>
    </row>
    <row r="16" spans="1:10" x14ac:dyDescent="0.25">
      <c r="A16" s="1">
        <v>1021</v>
      </c>
      <c r="B16" s="1" t="s">
        <v>13</v>
      </c>
      <c r="C16" s="1" t="s">
        <v>14</v>
      </c>
      <c r="D16" s="1" t="s">
        <v>21</v>
      </c>
      <c r="E16" s="2">
        <v>45378</v>
      </c>
      <c r="F16" s="1">
        <v>10</v>
      </c>
      <c r="G16" s="1">
        <v>47413</v>
      </c>
      <c r="H16" s="1" t="s">
        <v>12</v>
      </c>
      <c r="I16" s="1">
        <v>474130</v>
      </c>
      <c r="J16" t="str">
        <f t="shared" si="0"/>
        <v>March</v>
      </c>
    </row>
    <row r="17" spans="1:10" x14ac:dyDescent="0.25">
      <c r="A17" s="1">
        <v>1035</v>
      </c>
      <c r="B17" s="1" t="s">
        <v>22</v>
      </c>
      <c r="C17" s="1" t="s">
        <v>10</v>
      </c>
      <c r="D17" s="1" t="s">
        <v>21</v>
      </c>
      <c r="E17" s="2">
        <v>44929</v>
      </c>
      <c r="F17" s="1">
        <v>3</v>
      </c>
      <c r="G17" s="1">
        <v>21778</v>
      </c>
      <c r="H17" s="1" t="s">
        <v>16</v>
      </c>
      <c r="I17" s="1">
        <v>65334</v>
      </c>
      <c r="J17" t="str">
        <f t="shared" si="0"/>
        <v>January</v>
      </c>
    </row>
    <row r="18" spans="1:10" x14ac:dyDescent="0.25">
      <c r="A18" s="1">
        <v>1047</v>
      </c>
      <c r="B18" s="1" t="s">
        <v>25</v>
      </c>
      <c r="C18" s="1" t="s">
        <v>14</v>
      </c>
      <c r="D18" s="1" t="s">
        <v>21</v>
      </c>
      <c r="E18" s="2">
        <v>45267</v>
      </c>
      <c r="F18" s="1">
        <v>34</v>
      </c>
      <c r="G18" s="1">
        <v>35028</v>
      </c>
      <c r="H18" s="1" t="s">
        <v>26</v>
      </c>
      <c r="I18" s="1">
        <v>1190952</v>
      </c>
      <c r="J18" t="str">
        <f t="shared" si="0"/>
        <v>December</v>
      </c>
    </row>
    <row r="19" spans="1:10" x14ac:dyDescent="0.25">
      <c r="A19" s="1">
        <v>1029</v>
      </c>
      <c r="B19" s="1" t="s">
        <v>13</v>
      </c>
      <c r="C19" s="1" t="s">
        <v>14</v>
      </c>
      <c r="D19" s="1" t="s">
        <v>21</v>
      </c>
      <c r="E19" s="2">
        <v>44966</v>
      </c>
      <c r="F19" s="1">
        <v>25</v>
      </c>
      <c r="G19" s="1">
        <v>20777</v>
      </c>
      <c r="H19" s="1" t="s">
        <v>29</v>
      </c>
      <c r="I19" s="1">
        <v>519425</v>
      </c>
      <c r="J19" t="str">
        <f t="shared" si="0"/>
        <v>February</v>
      </c>
    </row>
    <row r="20" spans="1:10" x14ac:dyDescent="0.25">
      <c r="A20" s="1">
        <v>1035</v>
      </c>
      <c r="B20" s="1" t="s">
        <v>22</v>
      </c>
      <c r="C20" s="1" t="s">
        <v>10</v>
      </c>
      <c r="D20" s="1" t="s">
        <v>11</v>
      </c>
      <c r="E20" s="2">
        <v>45523</v>
      </c>
      <c r="F20" s="1">
        <v>28</v>
      </c>
      <c r="G20" s="1">
        <v>1445</v>
      </c>
      <c r="H20" s="1" t="s">
        <v>19</v>
      </c>
      <c r="I20" s="1">
        <v>40460</v>
      </c>
      <c r="J20" t="str">
        <f t="shared" si="0"/>
        <v>August</v>
      </c>
    </row>
    <row r="21" spans="1:10" x14ac:dyDescent="0.25">
      <c r="A21" s="1">
        <v>1002</v>
      </c>
      <c r="B21" s="1" t="s">
        <v>32</v>
      </c>
      <c r="C21" s="1" t="s">
        <v>10</v>
      </c>
      <c r="D21" s="1" t="s">
        <v>15</v>
      </c>
      <c r="E21" s="2">
        <v>45431</v>
      </c>
      <c r="F21" s="1">
        <v>48</v>
      </c>
      <c r="G21" s="1">
        <v>31602</v>
      </c>
      <c r="H21" s="1" t="s">
        <v>30</v>
      </c>
      <c r="I21" s="1">
        <v>1516896</v>
      </c>
      <c r="J21" t="str">
        <f t="shared" si="0"/>
        <v>May</v>
      </c>
    </row>
    <row r="22" spans="1:10" x14ac:dyDescent="0.25">
      <c r="A22" s="1">
        <v>1033</v>
      </c>
      <c r="B22" s="1" t="s">
        <v>9</v>
      </c>
      <c r="C22" s="1" t="s">
        <v>14</v>
      </c>
      <c r="D22" s="1" t="s">
        <v>18</v>
      </c>
      <c r="E22" s="2">
        <v>45026</v>
      </c>
      <c r="F22" s="1">
        <v>21</v>
      </c>
      <c r="G22" s="1">
        <v>16192</v>
      </c>
      <c r="H22" s="1" t="s">
        <v>12</v>
      </c>
      <c r="I22" s="1">
        <v>340032</v>
      </c>
      <c r="J22" t="str">
        <f t="shared" si="0"/>
        <v>April</v>
      </c>
    </row>
    <row r="23" spans="1:10" x14ac:dyDescent="0.25">
      <c r="A23" s="1">
        <v>1026</v>
      </c>
      <c r="B23" s="1" t="s">
        <v>24</v>
      </c>
      <c r="C23" s="1" t="s">
        <v>14</v>
      </c>
      <c r="D23" s="1" t="s">
        <v>18</v>
      </c>
      <c r="E23" s="2">
        <v>45307</v>
      </c>
      <c r="F23" s="1">
        <v>15</v>
      </c>
      <c r="G23" s="1">
        <v>2741</v>
      </c>
      <c r="H23" s="1" t="s">
        <v>28</v>
      </c>
      <c r="I23" s="1">
        <v>41115</v>
      </c>
      <c r="J23" t="str">
        <f t="shared" si="0"/>
        <v>January</v>
      </c>
    </row>
    <row r="24" spans="1:10" x14ac:dyDescent="0.25">
      <c r="A24" s="1">
        <v>1044</v>
      </c>
      <c r="B24" s="1" t="s">
        <v>27</v>
      </c>
      <c r="C24" s="1" t="s">
        <v>14</v>
      </c>
      <c r="D24" s="1" t="s">
        <v>18</v>
      </c>
      <c r="E24" s="2">
        <v>45140</v>
      </c>
      <c r="F24" s="1">
        <v>4</v>
      </c>
      <c r="G24" s="1">
        <v>44373</v>
      </c>
      <c r="H24" s="1" t="s">
        <v>12</v>
      </c>
      <c r="I24" s="1">
        <v>177492</v>
      </c>
      <c r="J24" t="str">
        <f t="shared" si="0"/>
        <v>August</v>
      </c>
    </row>
    <row r="25" spans="1:10" x14ac:dyDescent="0.25">
      <c r="A25" s="1">
        <v>1032</v>
      </c>
      <c r="B25" s="1" t="s">
        <v>22</v>
      </c>
      <c r="C25" s="1" t="s">
        <v>10</v>
      </c>
      <c r="D25" s="1" t="s">
        <v>21</v>
      </c>
      <c r="E25" s="2">
        <v>45789</v>
      </c>
      <c r="F25" s="1">
        <v>27</v>
      </c>
      <c r="G25" s="1">
        <v>20050</v>
      </c>
      <c r="H25" s="1" t="s">
        <v>16</v>
      </c>
      <c r="I25" s="1">
        <v>541350</v>
      </c>
      <c r="J25" t="str">
        <f t="shared" si="0"/>
        <v>May</v>
      </c>
    </row>
    <row r="26" spans="1:10" x14ac:dyDescent="0.25">
      <c r="A26" s="1">
        <v>1018</v>
      </c>
      <c r="B26" s="1" t="s">
        <v>32</v>
      </c>
      <c r="C26" s="1" t="s">
        <v>14</v>
      </c>
      <c r="D26" s="1" t="s">
        <v>15</v>
      </c>
      <c r="E26" s="2">
        <v>45217</v>
      </c>
      <c r="F26" s="1">
        <v>36</v>
      </c>
      <c r="G26" s="1">
        <v>16667</v>
      </c>
      <c r="H26" s="1" t="s">
        <v>12</v>
      </c>
      <c r="I26" s="1">
        <v>600012</v>
      </c>
      <c r="J26" t="str">
        <f t="shared" si="0"/>
        <v>October</v>
      </c>
    </row>
    <row r="27" spans="1:10" x14ac:dyDescent="0.25">
      <c r="A27" s="1">
        <v>1034</v>
      </c>
      <c r="B27" s="1" t="s">
        <v>32</v>
      </c>
      <c r="C27" s="1" t="s">
        <v>14</v>
      </c>
      <c r="D27" s="1" t="s">
        <v>11</v>
      </c>
      <c r="E27" s="2">
        <v>45515</v>
      </c>
      <c r="F27" s="1">
        <v>30</v>
      </c>
      <c r="G27" s="1">
        <v>46248</v>
      </c>
      <c r="H27" s="1" t="s">
        <v>23</v>
      </c>
      <c r="I27" s="1">
        <v>1387440</v>
      </c>
      <c r="J27" t="str">
        <f t="shared" si="0"/>
        <v>August</v>
      </c>
    </row>
    <row r="28" spans="1:10" x14ac:dyDescent="0.25">
      <c r="A28" s="1">
        <v>1030</v>
      </c>
      <c r="B28" s="1" t="s">
        <v>27</v>
      </c>
      <c r="C28" s="1" t="s">
        <v>10</v>
      </c>
      <c r="D28" s="1" t="s">
        <v>15</v>
      </c>
      <c r="E28" s="2">
        <v>45033</v>
      </c>
      <c r="F28" s="1">
        <v>11</v>
      </c>
      <c r="G28" s="1">
        <v>47922</v>
      </c>
      <c r="H28" s="1" t="s">
        <v>19</v>
      </c>
      <c r="I28" s="1">
        <v>527142</v>
      </c>
      <c r="J28" t="str">
        <f t="shared" si="0"/>
        <v>April</v>
      </c>
    </row>
    <row r="29" spans="1:10" x14ac:dyDescent="0.25">
      <c r="A29" s="1">
        <v>1044</v>
      </c>
      <c r="B29" s="1" t="s">
        <v>27</v>
      </c>
      <c r="C29" s="1" t="s">
        <v>14</v>
      </c>
      <c r="D29" s="1" t="s">
        <v>11</v>
      </c>
      <c r="E29" s="2">
        <v>45764</v>
      </c>
      <c r="F29" s="1">
        <v>44</v>
      </c>
      <c r="G29" s="1">
        <v>11088</v>
      </c>
      <c r="H29" s="1" t="s">
        <v>30</v>
      </c>
      <c r="I29" s="1">
        <v>487872</v>
      </c>
      <c r="J29" t="str">
        <f t="shared" si="0"/>
        <v>April</v>
      </c>
    </row>
    <row r="30" spans="1:10" x14ac:dyDescent="0.25">
      <c r="A30" s="1">
        <v>1023</v>
      </c>
      <c r="B30" s="1" t="s">
        <v>27</v>
      </c>
      <c r="C30" s="1" t="s">
        <v>14</v>
      </c>
      <c r="D30" s="1" t="s">
        <v>18</v>
      </c>
      <c r="E30" s="2">
        <v>45503</v>
      </c>
      <c r="F30" s="1">
        <v>25</v>
      </c>
      <c r="G30" s="1">
        <v>25569</v>
      </c>
      <c r="H30" s="1" t="s">
        <v>30</v>
      </c>
      <c r="I30" s="1">
        <v>639225</v>
      </c>
      <c r="J30" t="str">
        <f t="shared" si="0"/>
        <v>July</v>
      </c>
    </row>
    <row r="31" spans="1:10" x14ac:dyDescent="0.25">
      <c r="A31" s="1">
        <v>1048</v>
      </c>
      <c r="B31" s="1" t="s">
        <v>24</v>
      </c>
      <c r="C31" s="1" t="s">
        <v>10</v>
      </c>
      <c r="D31" s="1" t="s">
        <v>15</v>
      </c>
      <c r="E31" s="2">
        <v>45770</v>
      </c>
      <c r="F31" s="1">
        <v>30</v>
      </c>
      <c r="G31" s="1">
        <v>40081</v>
      </c>
      <c r="H31" s="1" t="s">
        <v>29</v>
      </c>
      <c r="I31" s="1">
        <v>1202430</v>
      </c>
      <c r="J31" t="str">
        <f t="shared" si="0"/>
        <v>April</v>
      </c>
    </row>
    <row r="32" spans="1:10" x14ac:dyDescent="0.25">
      <c r="A32" s="1">
        <v>1020</v>
      </c>
      <c r="B32" s="1" t="s">
        <v>25</v>
      </c>
      <c r="C32" s="1" t="s">
        <v>10</v>
      </c>
      <c r="D32" s="1" t="s">
        <v>21</v>
      </c>
      <c r="E32" s="2">
        <v>45753</v>
      </c>
      <c r="F32" s="1">
        <v>35</v>
      </c>
      <c r="G32" s="1">
        <v>24686</v>
      </c>
      <c r="H32" s="1" t="s">
        <v>16</v>
      </c>
      <c r="I32" s="1">
        <v>864010</v>
      </c>
      <c r="J32" t="str">
        <f t="shared" si="0"/>
        <v>April</v>
      </c>
    </row>
    <row r="33" spans="1:10" x14ac:dyDescent="0.25">
      <c r="A33" s="1">
        <v>1046</v>
      </c>
      <c r="B33" s="1" t="s">
        <v>17</v>
      </c>
      <c r="C33" s="1" t="s">
        <v>14</v>
      </c>
      <c r="D33" s="1" t="s">
        <v>18</v>
      </c>
      <c r="E33" s="2">
        <v>45073</v>
      </c>
      <c r="F33" s="1">
        <v>28</v>
      </c>
      <c r="G33" s="1">
        <v>27108</v>
      </c>
      <c r="H33" s="1" t="s">
        <v>26</v>
      </c>
      <c r="I33" s="1">
        <v>759024</v>
      </c>
      <c r="J33" t="str">
        <f t="shared" si="0"/>
        <v>May</v>
      </c>
    </row>
    <row r="34" spans="1:10" x14ac:dyDescent="0.25">
      <c r="A34" s="1">
        <v>1023</v>
      </c>
      <c r="B34" s="1" t="s">
        <v>32</v>
      </c>
      <c r="C34" s="1" t="s">
        <v>10</v>
      </c>
      <c r="D34" s="1" t="s">
        <v>15</v>
      </c>
      <c r="E34" s="2">
        <v>45411</v>
      </c>
      <c r="F34" s="1">
        <v>30</v>
      </c>
      <c r="G34" s="1">
        <v>14484</v>
      </c>
      <c r="H34" s="1" t="s">
        <v>23</v>
      </c>
      <c r="I34" s="1">
        <v>434520</v>
      </c>
      <c r="J34" t="str">
        <f t="shared" si="0"/>
        <v>April</v>
      </c>
    </row>
    <row r="35" spans="1:10" x14ac:dyDescent="0.25">
      <c r="A35" s="1">
        <v>1040</v>
      </c>
      <c r="B35" s="1" t="s">
        <v>20</v>
      </c>
      <c r="C35" s="1" t="s">
        <v>10</v>
      </c>
      <c r="D35" s="1" t="s">
        <v>18</v>
      </c>
      <c r="E35" s="2">
        <v>45930</v>
      </c>
      <c r="F35" s="1">
        <v>13</v>
      </c>
      <c r="G35" s="1">
        <v>8752</v>
      </c>
      <c r="H35" s="1" t="s">
        <v>23</v>
      </c>
      <c r="I35" s="1">
        <v>113776</v>
      </c>
      <c r="J35" t="str">
        <f t="shared" si="0"/>
        <v>September</v>
      </c>
    </row>
    <row r="36" spans="1:10" x14ac:dyDescent="0.25">
      <c r="A36" s="1">
        <v>1008</v>
      </c>
      <c r="B36" s="1" t="s">
        <v>24</v>
      </c>
      <c r="C36" s="1" t="s">
        <v>14</v>
      </c>
      <c r="D36" s="1" t="s">
        <v>15</v>
      </c>
      <c r="E36" s="2">
        <v>45338</v>
      </c>
      <c r="F36" s="1">
        <v>44</v>
      </c>
      <c r="G36" s="1">
        <v>10437</v>
      </c>
      <c r="H36" s="1" t="s">
        <v>29</v>
      </c>
      <c r="I36" s="1">
        <v>459228</v>
      </c>
      <c r="J36" t="str">
        <f t="shared" si="0"/>
        <v>February</v>
      </c>
    </row>
    <row r="37" spans="1:10" x14ac:dyDescent="0.25">
      <c r="A37" s="1">
        <v>1014</v>
      </c>
      <c r="B37" s="1" t="s">
        <v>22</v>
      </c>
      <c r="C37" s="1" t="s">
        <v>10</v>
      </c>
      <c r="D37" s="1" t="s">
        <v>21</v>
      </c>
      <c r="E37" s="2">
        <v>45085</v>
      </c>
      <c r="F37" s="1">
        <v>25</v>
      </c>
      <c r="G37" s="1">
        <v>17840</v>
      </c>
      <c r="H37" s="1" t="s">
        <v>16</v>
      </c>
      <c r="I37" s="1">
        <v>446000</v>
      </c>
      <c r="J37" t="str">
        <f t="shared" si="0"/>
        <v>June</v>
      </c>
    </row>
    <row r="38" spans="1:10" x14ac:dyDescent="0.25">
      <c r="A38" s="1">
        <v>1023</v>
      </c>
      <c r="B38" s="1" t="s">
        <v>25</v>
      </c>
      <c r="C38" s="1" t="s">
        <v>14</v>
      </c>
      <c r="D38" s="1" t="s">
        <v>11</v>
      </c>
      <c r="E38" s="2">
        <v>45298</v>
      </c>
      <c r="F38" s="1">
        <v>6</v>
      </c>
      <c r="G38" s="1">
        <v>21673</v>
      </c>
      <c r="H38" s="1" t="s">
        <v>16</v>
      </c>
      <c r="I38" s="1">
        <v>130038</v>
      </c>
      <c r="J38" t="str">
        <f t="shared" si="0"/>
        <v>January</v>
      </c>
    </row>
    <row r="39" spans="1:10" x14ac:dyDescent="0.25">
      <c r="A39" s="1">
        <v>1046</v>
      </c>
      <c r="B39" s="1" t="s">
        <v>32</v>
      </c>
      <c r="C39" s="1" t="s">
        <v>10</v>
      </c>
      <c r="D39" s="1" t="s">
        <v>11</v>
      </c>
      <c r="E39" s="2">
        <v>45647</v>
      </c>
      <c r="F39" s="1">
        <v>32</v>
      </c>
      <c r="G39" s="1">
        <v>36122</v>
      </c>
      <c r="H39" s="1" t="s">
        <v>19</v>
      </c>
      <c r="I39" s="1">
        <v>1155904</v>
      </c>
      <c r="J39" t="str">
        <f t="shared" si="0"/>
        <v>December</v>
      </c>
    </row>
    <row r="40" spans="1:10" x14ac:dyDescent="0.25">
      <c r="A40" s="1">
        <v>1014</v>
      </c>
      <c r="B40" s="1" t="s">
        <v>27</v>
      </c>
      <c r="C40" s="1" t="s">
        <v>14</v>
      </c>
      <c r="D40" s="1" t="s">
        <v>21</v>
      </c>
      <c r="E40" s="2">
        <v>45317</v>
      </c>
      <c r="F40" s="1">
        <v>10</v>
      </c>
      <c r="G40" s="1">
        <v>23254</v>
      </c>
      <c r="H40" s="1" t="s">
        <v>28</v>
      </c>
      <c r="I40" s="1">
        <v>232540</v>
      </c>
      <c r="J40" t="str">
        <f t="shared" si="0"/>
        <v>January</v>
      </c>
    </row>
    <row r="41" spans="1:10" x14ac:dyDescent="0.25">
      <c r="A41" s="1">
        <v>1002</v>
      </c>
      <c r="B41" s="1" t="s">
        <v>22</v>
      </c>
      <c r="C41" s="1" t="s">
        <v>10</v>
      </c>
      <c r="D41" s="1" t="s">
        <v>18</v>
      </c>
      <c r="E41" s="2">
        <v>45182</v>
      </c>
      <c r="F41" s="1">
        <v>35</v>
      </c>
      <c r="G41" s="1">
        <v>11855</v>
      </c>
      <c r="H41" s="1" t="s">
        <v>23</v>
      </c>
      <c r="I41" s="1">
        <v>414925</v>
      </c>
      <c r="J41" t="str">
        <f t="shared" si="0"/>
        <v>September</v>
      </c>
    </row>
    <row r="42" spans="1:10" x14ac:dyDescent="0.25">
      <c r="A42" s="1">
        <v>1004</v>
      </c>
      <c r="B42" s="1" t="s">
        <v>20</v>
      </c>
      <c r="C42" s="1" t="s">
        <v>10</v>
      </c>
      <c r="D42" s="1" t="s">
        <v>11</v>
      </c>
      <c r="E42" s="2">
        <v>45286</v>
      </c>
      <c r="F42" s="1">
        <v>39</v>
      </c>
      <c r="G42" s="1">
        <v>33259</v>
      </c>
      <c r="H42" s="1" t="s">
        <v>23</v>
      </c>
      <c r="I42" s="1">
        <v>1297101</v>
      </c>
      <c r="J42" t="str">
        <f t="shared" si="0"/>
        <v>December</v>
      </c>
    </row>
    <row r="43" spans="1:10" x14ac:dyDescent="0.25">
      <c r="A43" s="1">
        <v>1024</v>
      </c>
      <c r="B43" s="1" t="s">
        <v>13</v>
      </c>
      <c r="C43" s="1" t="s">
        <v>14</v>
      </c>
      <c r="D43" s="1" t="s">
        <v>21</v>
      </c>
      <c r="E43" s="2">
        <v>45877</v>
      </c>
      <c r="F43" s="1">
        <v>20</v>
      </c>
      <c r="G43" s="1">
        <v>34192</v>
      </c>
      <c r="H43" s="1" t="s">
        <v>29</v>
      </c>
      <c r="I43" s="1">
        <v>683840</v>
      </c>
      <c r="J43" t="str">
        <f t="shared" si="0"/>
        <v>August</v>
      </c>
    </row>
    <row r="44" spans="1:10" x14ac:dyDescent="0.25">
      <c r="A44" s="1">
        <v>1036</v>
      </c>
      <c r="B44" s="1" t="s">
        <v>13</v>
      </c>
      <c r="C44" s="1" t="s">
        <v>10</v>
      </c>
      <c r="D44" s="1" t="s">
        <v>15</v>
      </c>
      <c r="E44" s="2">
        <v>45482</v>
      </c>
      <c r="F44" s="1">
        <v>16</v>
      </c>
      <c r="G44" s="1">
        <v>46780</v>
      </c>
      <c r="H44" s="1" t="s">
        <v>12</v>
      </c>
      <c r="I44" s="1">
        <v>748480</v>
      </c>
      <c r="J44" t="str">
        <f t="shared" si="0"/>
        <v>July</v>
      </c>
    </row>
    <row r="45" spans="1:10" x14ac:dyDescent="0.25">
      <c r="A45" s="1">
        <v>1009</v>
      </c>
      <c r="B45" s="1" t="s">
        <v>17</v>
      </c>
      <c r="C45" s="1" t="s">
        <v>14</v>
      </c>
      <c r="D45" s="1" t="s">
        <v>11</v>
      </c>
      <c r="E45" s="2">
        <v>45622</v>
      </c>
      <c r="F45" s="1">
        <v>7</v>
      </c>
      <c r="G45" s="1">
        <v>14592</v>
      </c>
      <c r="H45" s="1" t="s">
        <v>12</v>
      </c>
      <c r="I45" s="1">
        <v>102144</v>
      </c>
      <c r="J45" t="str">
        <f t="shared" si="0"/>
        <v>November</v>
      </c>
    </row>
    <row r="46" spans="1:10" x14ac:dyDescent="0.25">
      <c r="A46" s="1">
        <v>1016</v>
      </c>
      <c r="B46" s="1" t="s">
        <v>9</v>
      </c>
      <c r="C46" s="1" t="s">
        <v>10</v>
      </c>
      <c r="D46" s="1" t="s">
        <v>18</v>
      </c>
      <c r="E46" s="2">
        <v>45464</v>
      </c>
      <c r="F46" s="1">
        <v>3</v>
      </c>
      <c r="G46" s="1">
        <v>19072</v>
      </c>
      <c r="H46" s="1" t="s">
        <v>30</v>
      </c>
      <c r="I46" s="1">
        <v>57216</v>
      </c>
      <c r="J46" t="str">
        <f t="shared" si="0"/>
        <v>June</v>
      </c>
    </row>
    <row r="47" spans="1:10" x14ac:dyDescent="0.25">
      <c r="A47" s="1">
        <v>1032</v>
      </c>
      <c r="B47" s="1" t="s">
        <v>22</v>
      </c>
      <c r="C47" s="1" t="s">
        <v>10</v>
      </c>
      <c r="D47" s="1" t="s">
        <v>18</v>
      </c>
      <c r="E47" s="2">
        <v>45361</v>
      </c>
      <c r="F47" s="1">
        <v>40</v>
      </c>
      <c r="G47" s="1">
        <v>29593</v>
      </c>
      <c r="H47" s="1" t="s">
        <v>16</v>
      </c>
      <c r="I47" s="1">
        <v>1183720</v>
      </c>
      <c r="J47" t="str">
        <f t="shared" si="0"/>
        <v>March</v>
      </c>
    </row>
    <row r="48" spans="1:10" x14ac:dyDescent="0.25">
      <c r="A48" s="1">
        <v>1032</v>
      </c>
      <c r="B48" s="1" t="s">
        <v>25</v>
      </c>
      <c r="C48" s="1" t="s">
        <v>14</v>
      </c>
      <c r="D48" s="1" t="s">
        <v>18</v>
      </c>
      <c r="E48" s="2">
        <v>45457</v>
      </c>
      <c r="F48" s="1">
        <v>28</v>
      </c>
      <c r="G48" s="1">
        <v>39830</v>
      </c>
      <c r="H48" s="1" t="s">
        <v>28</v>
      </c>
      <c r="I48" s="1">
        <v>1115240</v>
      </c>
      <c r="J48" t="str">
        <f t="shared" si="0"/>
        <v>June</v>
      </c>
    </row>
    <row r="49" spans="1:10" x14ac:dyDescent="0.25">
      <c r="A49" s="1">
        <v>1027</v>
      </c>
      <c r="B49" s="1" t="s">
        <v>13</v>
      </c>
      <c r="C49" s="1" t="s">
        <v>14</v>
      </c>
      <c r="D49" s="1" t="s">
        <v>15</v>
      </c>
      <c r="E49" s="2">
        <v>44978</v>
      </c>
      <c r="F49" s="1">
        <v>32</v>
      </c>
      <c r="G49" s="1">
        <v>42663</v>
      </c>
      <c r="H49" s="1" t="s">
        <v>29</v>
      </c>
      <c r="I49" s="1">
        <v>1365216</v>
      </c>
      <c r="J49" t="str">
        <f t="shared" si="0"/>
        <v>February</v>
      </c>
    </row>
    <row r="50" spans="1:10" x14ac:dyDescent="0.25">
      <c r="A50" s="1">
        <v>1015</v>
      </c>
      <c r="B50" s="1" t="s">
        <v>27</v>
      </c>
      <c r="C50" s="1" t="s">
        <v>10</v>
      </c>
      <c r="D50" s="1" t="s">
        <v>18</v>
      </c>
      <c r="E50" s="2">
        <v>45867</v>
      </c>
      <c r="F50" s="1">
        <v>46</v>
      </c>
      <c r="G50" s="1">
        <v>27918</v>
      </c>
      <c r="H50" s="1" t="s">
        <v>12</v>
      </c>
      <c r="I50" s="1">
        <v>1284228</v>
      </c>
      <c r="J50" t="str">
        <f t="shared" si="0"/>
        <v>July</v>
      </c>
    </row>
    <row r="51" spans="1:10" x14ac:dyDescent="0.25">
      <c r="A51" s="1">
        <v>1049</v>
      </c>
      <c r="B51" s="1" t="s">
        <v>25</v>
      </c>
      <c r="C51" s="1" t="s">
        <v>14</v>
      </c>
      <c r="D51" s="1" t="s">
        <v>18</v>
      </c>
      <c r="E51" s="2">
        <v>46007</v>
      </c>
      <c r="F51" s="1">
        <v>40</v>
      </c>
      <c r="G51" s="1">
        <v>28114</v>
      </c>
      <c r="H51" s="1" t="s">
        <v>12</v>
      </c>
      <c r="I51" s="1">
        <v>1124560</v>
      </c>
      <c r="J51" t="str">
        <f t="shared" si="0"/>
        <v>December</v>
      </c>
    </row>
    <row r="52" spans="1:10" x14ac:dyDescent="0.25">
      <c r="A52" s="1">
        <v>1004</v>
      </c>
      <c r="B52" s="1" t="s">
        <v>20</v>
      </c>
      <c r="C52" s="1" t="s">
        <v>14</v>
      </c>
      <c r="D52" s="1" t="s">
        <v>21</v>
      </c>
      <c r="E52" s="2">
        <v>45269</v>
      </c>
      <c r="F52" s="1">
        <v>4</v>
      </c>
      <c r="G52" s="1">
        <v>36019</v>
      </c>
      <c r="H52" s="1" t="s">
        <v>26</v>
      </c>
      <c r="I52" s="1">
        <v>144076</v>
      </c>
      <c r="J52" t="str">
        <f t="shared" si="0"/>
        <v>December</v>
      </c>
    </row>
    <row r="53" spans="1:10" x14ac:dyDescent="0.25">
      <c r="A53" s="1">
        <v>1036</v>
      </c>
      <c r="B53" s="1" t="s">
        <v>9</v>
      </c>
      <c r="C53" s="1" t="s">
        <v>14</v>
      </c>
      <c r="D53" s="1" t="s">
        <v>11</v>
      </c>
      <c r="E53" s="2">
        <v>45442</v>
      </c>
      <c r="F53" s="1">
        <v>39</v>
      </c>
      <c r="G53" s="1">
        <v>17965</v>
      </c>
      <c r="H53" s="1" t="s">
        <v>12</v>
      </c>
      <c r="I53" s="1">
        <v>700635</v>
      </c>
      <c r="J53" t="str">
        <f t="shared" si="0"/>
        <v>May</v>
      </c>
    </row>
    <row r="54" spans="1:10" x14ac:dyDescent="0.25">
      <c r="A54" s="1">
        <v>1025</v>
      </c>
      <c r="B54" s="1" t="s">
        <v>31</v>
      </c>
      <c r="C54" s="1" t="s">
        <v>14</v>
      </c>
      <c r="D54" s="1" t="s">
        <v>11</v>
      </c>
      <c r="E54" s="2">
        <v>46018</v>
      </c>
      <c r="F54" s="1">
        <v>15</v>
      </c>
      <c r="G54" s="1">
        <v>17130</v>
      </c>
      <c r="H54" s="1" t="s">
        <v>23</v>
      </c>
      <c r="I54" s="1">
        <v>256950</v>
      </c>
      <c r="J54" t="str">
        <f t="shared" si="0"/>
        <v>December</v>
      </c>
    </row>
    <row r="55" spans="1:10" x14ac:dyDescent="0.25">
      <c r="A55" s="1">
        <v>1015</v>
      </c>
      <c r="B55" s="1" t="s">
        <v>27</v>
      </c>
      <c r="C55" s="1" t="s">
        <v>14</v>
      </c>
      <c r="D55" s="1" t="s">
        <v>21</v>
      </c>
      <c r="E55" s="2">
        <v>45066</v>
      </c>
      <c r="F55" s="1">
        <v>45</v>
      </c>
      <c r="G55" s="1">
        <v>47936</v>
      </c>
      <c r="H55" s="1" t="s">
        <v>30</v>
      </c>
      <c r="I55" s="1">
        <v>2157120</v>
      </c>
      <c r="J55" t="str">
        <f t="shared" si="0"/>
        <v>May</v>
      </c>
    </row>
    <row r="56" spans="1:10" x14ac:dyDescent="0.25">
      <c r="A56" s="1">
        <v>1012</v>
      </c>
      <c r="B56" s="1" t="s">
        <v>20</v>
      </c>
      <c r="C56" s="1" t="s">
        <v>14</v>
      </c>
      <c r="D56" s="1" t="s">
        <v>21</v>
      </c>
      <c r="E56" s="2">
        <v>45588</v>
      </c>
      <c r="F56" s="1">
        <v>19</v>
      </c>
      <c r="G56" s="1">
        <v>49351</v>
      </c>
      <c r="H56" s="1" t="s">
        <v>19</v>
      </c>
      <c r="I56" s="1">
        <v>937669</v>
      </c>
      <c r="J56" t="str">
        <f t="shared" si="0"/>
        <v>October</v>
      </c>
    </row>
    <row r="57" spans="1:10" x14ac:dyDescent="0.25">
      <c r="A57" s="1">
        <v>1007</v>
      </c>
      <c r="B57" s="1" t="s">
        <v>25</v>
      </c>
      <c r="C57" s="1" t="s">
        <v>14</v>
      </c>
      <c r="D57" s="1" t="s">
        <v>18</v>
      </c>
      <c r="E57" s="2">
        <v>45400</v>
      </c>
      <c r="F57" s="1">
        <v>5</v>
      </c>
      <c r="G57" s="1">
        <v>1295</v>
      </c>
      <c r="H57" s="1" t="s">
        <v>16</v>
      </c>
      <c r="I57" s="1">
        <v>6475</v>
      </c>
      <c r="J57" t="str">
        <f t="shared" si="0"/>
        <v>April</v>
      </c>
    </row>
    <row r="58" spans="1:10" x14ac:dyDescent="0.25">
      <c r="A58" s="1">
        <v>1036</v>
      </c>
      <c r="B58" s="1" t="s">
        <v>32</v>
      </c>
      <c r="C58" s="1" t="s">
        <v>14</v>
      </c>
      <c r="D58" s="1" t="s">
        <v>15</v>
      </c>
      <c r="E58" s="2">
        <v>44930</v>
      </c>
      <c r="F58" s="1">
        <v>30</v>
      </c>
      <c r="G58" s="1">
        <v>13916</v>
      </c>
      <c r="H58" s="1" t="s">
        <v>29</v>
      </c>
      <c r="I58" s="1">
        <v>417480</v>
      </c>
      <c r="J58" t="str">
        <f t="shared" si="0"/>
        <v>January</v>
      </c>
    </row>
    <row r="59" spans="1:10" x14ac:dyDescent="0.25">
      <c r="A59" s="1">
        <v>1024</v>
      </c>
      <c r="B59" s="1" t="s">
        <v>22</v>
      </c>
      <c r="C59" s="1" t="s">
        <v>10</v>
      </c>
      <c r="D59" s="1" t="s">
        <v>11</v>
      </c>
      <c r="E59" s="2">
        <v>45682</v>
      </c>
      <c r="F59" s="1">
        <v>47</v>
      </c>
      <c r="G59" s="1">
        <v>4186</v>
      </c>
      <c r="H59" s="1" t="s">
        <v>19</v>
      </c>
      <c r="I59" s="1">
        <v>196742</v>
      </c>
      <c r="J59" t="str">
        <f t="shared" si="0"/>
        <v>January</v>
      </c>
    </row>
    <row r="60" spans="1:10" x14ac:dyDescent="0.25">
      <c r="A60" s="1">
        <v>1006</v>
      </c>
      <c r="B60" s="1" t="s">
        <v>32</v>
      </c>
      <c r="C60" s="1" t="s">
        <v>10</v>
      </c>
      <c r="D60" s="1" t="s">
        <v>18</v>
      </c>
      <c r="E60" s="2">
        <v>45943</v>
      </c>
      <c r="F60" s="1">
        <v>44</v>
      </c>
      <c r="G60" s="1">
        <v>9629</v>
      </c>
      <c r="H60" s="1" t="s">
        <v>28</v>
      </c>
      <c r="I60" s="1">
        <v>423676</v>
      </c>
      <c r="J60" t="str">
        <f t="shared" si="0"/>
        <v>October</v>
      </c>
    </row>
    <row r="61" spans="1:10" x14ac:dyDescent="0.25">
      <c r="A61" s="1">
        <v>1048</v>
      </c>
      <c r="B61" s="1" t="s">
        <v>24</v>
      </c>
      <c r="C61" s="1" t="s">
        <v>10</v>
      </c>
      <c r="D61" s="1" t="s">
        <v>15</v>
      </c>
      <c r="E61" s="2">
        <v>45189</v>
      </c>
      <c r="F61" s="1">
        <v>4</v>
      </c>
      <c r="G61" s="1">
        <v>21787</v>
      </c>
      <c r="H61" s="1" t="s">
        <v>28</v>
      </c>
      <c r="I61" s="1">
        <v>87148</v>
      </c>
      <c r="J61" t="str">
        <f t="shared" si="0"/>
        <v>September</v>
      </c>
    </row>
    <row r="62" spans="1:10" x14ac:dyDescent="0.25">
      <c r="A62" s="1">
        <v>1041</v>
      </c>
      <c r="B62" s="1" t="s">
        <v>17</v>
      </c>
      <c r="C62" s="1" t="s">
        <v>14</v>
      </c>
      <c r="D62" s="1" t="s">
        <v>11</v>
      </c>
      <c r="E62" s="2">
        <v>45192</v>
      </c>
      <c r="F62" s="1">
        <v>47</v>
      </c>
      <c r="G62" s="1">
        <v>7604</v>
      </c>
      <c r="H62" s="1" t="s">
        <v>23</v>
      </c>
      <c r="I62" s="1">
        <v>357388</v>
      </c>
      <c r="J62" t="str">
        <f t="shared" si="0"/>
        <v>September</v>
      </c>
    </row>
    <row r="63" spans="1:10" x14ac:dyDescent="0.25">
      <c r="A63" s="1">
        <v>1045</v>
      </c>
      <c r="B63" s="1" t="s">
        <v>31</v>
      </c>
      <c r="C63" s="1" t="s">
        <v>10</v>
      </c>
      <c r="D63" s="1" t="s">
        <v>18</v>
      </c>
      <c r="E63" s="2">
        <v>45965</v>
      </c>
      <c r="F63" s="1">
        <v>31</v>
      </c>
      <c r="G63" s="1">
        <v>18062</v>
      </c>
      <c r="H63" s="1" t="s">
        <v>12</v>
      </c>
      <c r="I63" s="1">
        <v>559922</v>
      </c>
      <c r="J63" t="str">
        <f t="shared" si="0"/>
        <v>November</v>
      </c>
    </row>
    <row r="64" spans="1:10" x14ac:dyDescent="0.25">
      <c r="A64" s="1">
        <v>1031</v>
      </c>
      <c r="B64" s="1" t="s">
        <v>17</v>
      </c>
      <c r="C64" s="1" t="s">
        <v>10</v>
      </c>
      <c r="D64" s="1" t="s">
        <v>18</v>
      </c>
      <c r="E64" s="2">
        <v>45394</v>
      </c>
      <c r="F64" s="1">
        <v>28</v>
      </c>
      <c r="G64" s="1">
        <v>31938</v>
      </c>
      <c r="H64" s="1" t="s">
        <v>30</v>
      </c>
      <c r="I64" s="1">
        <v>894264</v>
      </c>
      <c r="J64" t="str">
        <f t="shared" si="0"/>
        <v>April</v>
      </c>
    </row>
    <row r="65" spans="1:10" x14ac:dyDescent="0.25">
      <c r="A65" s="1">
        <v>1021</v>
      </c>
      <c r="B65" s="1" t="s">
        <v>31</v>
      </c>
      <c r="C65" s="1" t="s">
        <v>14</v>
      </c>
      <c r="D65" s="1" t="s">
        <v>21</v>
      </c>
      <c r="E65" s="2">
        <v>45816</v>
      </c>
      <c r="F65" s="1">
        <v>23</v>
      </c>
      <c r="G65" s="1">
        <v>25710</v>
      </c>
      <c r="H65" s="1" t="s">
        <v>19</v>
      </c>
      <c r="I65" s="1">
        <v>591330</v>
      </c>
      <c r="J65" t="str">
        <f t="shared" si="0"/>
        <v>June</v>
      </c>
    </row>
    <row r="66" spans="1:10" x14ac:dyDescent="0.25">
      <c r="A66" s="1">
        <v>1011</v>
      </c>
      <c r="B66" s="1" t="s">
        <v>25</v>
      </c>
      <c r="C66" s="1" t="s">
        <v>10</v>
      </c>
      <c r="D66" s="1" t="s">
        <v>15</v>
      </c>
      <c r="E66" s="2">
        <v>45067</v>
      </c>
      <c r="F66" s="1">
        <v>47</v>
      </c>
      <c r="G66" s="1">
        <v>17100</v>
      </c>
      <c r="H66" s="1" t="s">
        <v>19</v>
      </c>
      <c r="I66" s="1">
        <v>803700</v>
      </c>
      <c r="J66" t="str">
        <f t="shared" si="0"/>
        <v>May</v>
      </c>
    </row>
    <row r="67" spans="1:10" x14ac:dyDescent="0.25">
      <c r="A67" s="1">
        <v>1016</v>
      </c>
      <c r="B67" s="1" t="s">
        <v>32</v>
      </c>
      <c r="C67" s="1" t="s">
        <v>14</v>
      </c>
      <c r="D67" s="1" t="s">
        <v>18</v>
      </c>
      <c r="E67" s="2">
        <v>45365</v>
      </c>
      <c r="F67" s="1">
        <v>29</v>
      </c>
      <c r="G67" s="1">
        <v>31271</v>
      </c>
      <c r="H67" s="1" t="s">
        <v>23</v>
      </c>
      <c r="I67" s="1">
        <v>906859</v>
      </c>
      <c r="J67" t="str">
        <f t="shared" ref="J67:J130" si="1">TEXT(E67,"mmmm")</f>
        <v>March</v>
      </c>
    </row>
    <row r="68" spans="1:10" x14ac:dyDescent="0.25">
      <c r="A68" s="1">
        <v>1014</v>
      </c>
      <c r="B68" s="1" t="s">
        <v>25</v>
      </c>
      <c r="C68" s="1" t="s">
        <v>10</v>
      </c>
      <c r="D68" s="1" t="s">
        <v>18</v>
      </c>
      <c r="E68" s="2">
        <v>45466</v>
      </c>
      <c r="F68" s="1">
        <v>30</v>
      </c>
      <c r="G68" s="1">
        <v>33687</v>
      </c>
      <c r="H68" s="1" t="s">
        <v>12</v>
      </c>
      <c r="I68" s="1">
        <v>1010610</v>
      </c>
      <c r="J68" t="str">
        <f t="shared" si="1"/>
        <v>June</v>
      </c>
    </row>
    <row r="69" spans="1:10" x14ac:dyDescent="0.25">
      <c r="A69" s="1">
        <v>1025</v>
      </c>
      <c r="B69" s="1" t="s">
        <v>24</v>
      </c>
      <c r="C69" s="1" t="s">
        <v>10</v>
      </c>
      <c r="D69" s="1" t="s">
        <v>18</v>
      </c>
      <c r="E69" s="2">
        <v>45733</v>
      </c>
      <c r="F69" s="1">
        <v>43</v>
      </c>
      <c r="G69" s="1">
        <v>49367</v>
      </c>
      <c r="H69" s="1" t="s">
        <v>19</v>
      </c>
      <c r="I69" s="1">
        <v>2122781</v>
      </c>
      <c r="J69" t="str">
        <f t="shared" si="1"/>
        <v>March</v>
      </c>
    </row>
    <row r="70" spans="1:10" x14ac:dyDescent="0.25">
      <c r="A70" s="1">
        <v>1014</v>
      </c>
      <c r="B70" s="1" t="s">
        <v>32</v>
      </c>
      <c r="C70" s="1" t="s">
        <v>14</v>
      </c>
      <c r="D70" s="1" t="s">
        <v>11</v>
      </c>
      <c r="E70" s="2">
        <v>45794</v>
      </c>
      <c r="F70" s="1">
        <v>24</v>
      </c>
      <c r="G70" s="1">
        <v>24401</v>
      </c>
      <c r="H70" s="1" t="s">
        <v>16</v>
      </c>
      <c r="I70" s="1">
        <v>585624</v>
      </c>
      <c r="J70" t="str">
        <f t="shared" si="1"/>
        <v>May</v>
      </c>
    </row>
    <row r="71" spans="1:10" x14ac:dyDescent="0.25">
      <c r="A71" s="1">
        <v>1038</v>
      </c>
      <c r="B71" s="1" t="s">
        <v>32</v>
      </c>
      <c r="C71" s="1" t="s">
        <v>10</v>
      </c>
      <c r="D71" s="1" t="s">
        <v>21</v>
      </c>
      <c r="E71" s="2">
        <v>45026</v>
      </c>
      <c r="F71" s="1">
        <v>10</v>
      </c>
      <c r="G71" s="1">
        <v>808</v>
      </c>
      <c r="H71" s="1" t="s">
        <v>19</v>
      </c>
      <c r="I71" s="1">
        <v>8080</v>
      </c>
      <c r="J71" t="str">
        <f t="shared" si="1"/>
        <v>April</v>
      </c>
    </row>
    <row r="72" spans="1:10" x14ac:dyDescent="0.25">
      <c r="A72" s="1">
        <v>1018</v>
      </c>
      <c r="B72" s="1" t="s">
        <v>25</v>
      </c>
      <c r="C72" s="1" t="s">
        <v>14</v>
      </c>
      <c r="D72" s="1" t="s">
        <v>18</v>
      </c>
      <c r="E72" s="2">
        <v>45120</v>
      </c>
      <c r="F72" s="1">
        <v>48</v>
      </c>
      <c r="G72" s="1">
        <v>5303</v>
      </c>
      <c r="H72" s="1" t="s">
        <v>19</v>
      </c>
      <c r="I72" s="1">
        <v>254544</v>
      </c>
      <c r="J72" t="str">
        <f t="shared" si="1"/>
        <v>July</v>
      </c>
    </row>
    <row r="73" spans="1:10" x14ac:dyDescent="0.25">
      <c r="A73" s="1">
        <v>1014</v>
      </c>
      <c r="B73" s="1" t="s">
        <v>27</v>
      </c>
      <c r="C73" s="1" t="s">
        <v>10</v>
      </c>
      <c r="D73" s="1" t="s">
        <v>18</v>
      </c>
      <c r="E73" s="2">
        <v>45742</v>
      </c>
      <c r="F73" s="1">
        <v>47</v>
      </c>
      <c r="G73" s="1">
        <v>30625</v>
      </c>
      <c r="H73" s="1" t="s">
        <v>23</v>
      </c>
      <c r="I73" s="1">
        <v>1439375</v>
      </c>
      <c r="J73" t="str">
        <f t="shared" si="1"/>
        <v>March</v>
      </c>
    </row>
    <row r="74" spans="1:10" x14ac:dyDescent="0.25">
      <c r="A74" s="1">
        <v>1024</v>
      </c>
      <c r="B74" s="1" t="s">
        <v>22</v>
      </c>
      <c r="C74" s="1" t="s">
        <v>14</v>
      </c>
      <c r="D74" s="1" t="s">
        <v>21</v>
      </c>
      <c r="E74" s="2">
        <v>45420</v>
      </c>
      <c r="F74" s="1">
        <v>30</v>
      </c>
      <c r="G74" s="1">
        <v>47288</v>
      </c>
      <c r="H74" s="1" t="s">
        <v>29</v>
      </c>
      <c r="I74" s="1">
        <v>1418640</v>
      </c>
      <c r="J74" t="str">
        <f t="shared" si="1"/>
        <v>May</v>
      </c>
    </row>
    <row r="75" spans="1:10" x14ac:dyDescent="0.25">
      <c r="A75" s="1">
        <v>1008</v>
      </c>
      <c r="B75" s="1" t="s">
        <v>25</v>
      </c>
      <c r="C75" s="1" t="s">
        <v>10</v>
      </c>
      <c r="D75" s="1" t="s">
        <v>15</v>
      </c>
      <c r="E75" s="2">
        <v>44943</v>
      </c>
      <c r="F75" s="1">
        <v>23</v>
      </c>
      <c r="G75" s="1">
        <v>41367</v>
      </c>
      <c r="H75" s="1" t="s">
        <v>12</v>
      </c>
      <c r="I75" s="1">
        <v>951441</v>
      </c>
      <c r="J75" t="str">
        <f t="shared" si="1"/>
        <v>January</v>
      </c>
    </row>
    <row r="76" spans="1:10" x14ac:dyDescent="0.25">
      <c r="A76" s="1">
        <v>1045</v>
      </c>
      <c r="B76" s="1" t="s">
        <v>20</v>
      </c>
      <c r="C76" s="1" t="s">
        <v>14</v>
      </c>
      <c r="D76" s="1" t="s">
        <v>21</v>
      </c>
      <c r="E76" s="2">
        <v>45287</v>
      </c>
      <c r="F76" s="1">
        <v>39</v>
      </c>
      <c r="G76" s="1">
        <v>9675</v>
      </c>
      <c r="H76" s="1" t="s">
        <v>30</v>
      </c>
      <c r="I76" s="1">
        <v>377325</v>
      </c>
      <c r="J76" t="str">
        <f t="shared" si="1"/>
        <v>December</v>
      </c>
    </row>
    <row r="77" spans="1:10" x14ac:dyDescent="0.25">
      <c r="A77" s="1">
        <v>1025</v>
      </c>
      <c r="B77" s="1" t="s">
        <v>25</v>
      </c>
      <c r="C77" s="1" t="s">
        <v>14</v>
      </c>
      <c r="D77" s="1" t="s">
        <v>21</v>
      </c>
      <c r="E77" s="2">
        <v>44973</v>
      </c>
      <c r="F77" s="1">
        <v>21</v>
      </c>
      <c r="G77" s="1">
        <v>49045</v>
      </c>
      <c r="H77" s="1" t="s">
        <v>23</v>
      </c>
      <c r="I77" s="1">
        <v>1029945</v>
      </c>
      <c r="J77" t="str">
        <f t="shared" si="1"/>
        <v>February</v>
      </c>
    </row>
    <row r="78" spans="1:10" x14ac:dyDescent="0.25">
      <c r="A78" s="1">
        <v>1034</v>
      </c>
      <c r="B78" s="1" t="s">
        <v>13</v>
      </c>
      <c r="C78" s="1" t="s">
        <v>14</v>
      </c>
      <c r="D78" s="1" t="s">
        <v>18</v>
      </c>
      <c r="E78" s="2">
        <v>45198</v>
      </c>
      <c r="F78" s="1">
        <v>1</v>
      </c>
      <c r="G78" s="1">
        <v>19171</v>
      </c>
      <c r="H78" s="1" t="s">
        <v>23</v>
      </c>
      <c r="I78" s="1">
        <v>19171</v>
      </c>
      <c r="J78" t="str">
        <f t="shared" si="1"/>
        <v>September</v>
      </c>
    </row>
    <row r="79" spans="1:10" x14ac:dyDescent="0.25">
      <c r="A79" s="1">
        <v>1045</v>
      </c>
      <c r="B79" s="1" t="s">
        <v>9</v>
      </c>
      <c r="C79" s="1" t="s">
        <v>10</v>
      </c>
      <c r="D79" s="1" t="s">
        <v>18</v>
      </c>
      <c r="E79" s="2">
        <v>45223</v>
      </c>
      <c r="F79" s="1">
        <v>40</v>
      </c>
      <c r="G79" s="1">
        <v>38970</v>
      </c>
      <c r="H79" s="1" t="s">
        <v>19</v>
      </c>
      <c r="I79" s="1">
        <v>1558800</v>
      </c>
      <c r="J79" t="str">
        <f t="shared" si="1"/>
        <v>October</v>
      </c>
    </row>
    <row r="80" spans="1:10" x14ac:dyDescent="0.25">
      <c r="A80" s="1">
        <v>1044</v>
      </c>
      <c r="B80" s="1" t="s">
        <v>31</v>
      </c>
      <c r="C80" s="1" t="s">
        <v>10</v>
      </c>
      <c r="D80" s="1" t="s">
        <v>21</v>
      </c>
      <c r="E80" s="2">
        <v>45906</v>
      </c>
      <c r="F80" s="1">
        <v>10</v>
      </c>
      <c r="G80" s="1">
        <v>14270</v>
      </c>
      <c r="H80" s="1" t="s">
        <v>12</v>
      </c>
      <c r="I80" s="1">
        <v>142700</v>
      </c>
      <c r="J80" t="str">
        <f t="shared" si="1"/>
        <v>September</v>
      </c>
    </row>
    <row r="81" spans="1:10" x14ac:dyDescent="0.25">
      <c r="A81" s="1">
        <v>1028</v>
      </c>
      <c r="B81" s="1" t="s">
        <v>17</v>
      </c>
      <c r="C81" s="1" t="s">
        <v>14</v>
      </c>
      <c r="D81" s="1" t="s">
        <v>18</v>
      </c>
      <c r="E81" s="2">
        <v>45763</v>
      </c>
      <c r="F81" s="1">
        <v>29</v>
      </c>
      <c r="G81" s="1">
        <v>20198</v>
      </c>
      <c r="H81" s="1" t="s">
        <v>16</v>
      </c>
      <c r="I81" s="1">
        <v>585742</v>
      </c>
      <c r="J81" t="str">
        <f t="shared" si="1"/>
        <v>April</v>
      </c>
    </row>
    <row r="82" spans="1:10" x14ac:dyDescent="0.25">
      <c r="A82" s="1">
        <v>1024</v>
      </c>
      <c r="B82" s="1" t="s">
        <v>22</v>
      </c>
      <c r="C82" s="1" t="s">
        <v>10</v>
      </c>
      <c r="D82" s="1" t="s">
        <v>21</v>
      </c>
      <c r="E82" s="2">
        <v>45853</v>
      </c>
      <c r="F82" s="1">
        <v>31</v>
      </c>
      <c r="G82" s="1">
        <v>42021</v>
      </c>
      <c r="H82" s="1" t="s">
        <v>30</v>
      </c>
      <c r="I82" s="1">
        <v>1302651</v>
      </c>
      <c r="J82" t="str">
        <f t="shared" si="1"/>
        <v>July</v>
      </c>
    </row>
    <row r="83" spans="1:10" x14ac:dyDescent="0.25">
      <c r="A83" s="1">
        <v>1018</v>
      </c>
      <c r="B83" s="1" t="s">
        <v>32</v>
      </c>
      <c r="C83" s="1" t="s">
        <v>10</v>
      </c>
      <c r="D83" s="1" t="s">
        <v>18</v>
      </c>
      <c r="E83" s="2">
        <v>44987</v>
      </c>
      <c r="F83" s="1">
        <v>30</v>
      </c>
      <c r="G83" s="1">
        <v>36863</v>
      </c>
      <c r="H83" s="1" t="s">
        <v>12</v>
      </c>
      <c r="I83" s="1">
        <v>1105890</v>
      </c>
      <c r="J83" t="str">
        <f t="shared" si="1"/>
        <v>March</v>
      </c>
    </row>
    <row r="84" spans="1:10" x14ac:dyDescent="0.25">
      <c r="A84" s="1">
        <v>1034</v>
      </c>
      <c r="B84" s="1" t="s">
        <v>25</v>
      </c>
      <c r="C84" s="1" t="s">
        <v>10</v>
      </c>
      <c r="D84" s="1" t="s">
        <v>11</v>
      </c>
      <c r="E84" s="2">
        <v>45248</v>
      </c>
      <c r="F84" s="1">
        <v>39</v>
      </c>
      <c r="G84" s="1">
        <v>21771</v>
      </c>
      <c r="H84" s="1" t="s">
        <v>23</v>
      </c>
      <c r="I84" s="1">
        <v>849069</v>
      </c>
      <c r="J84" t="str">
        <f t="shared" si="1"/>
        <v>November</v>
      </c>
    </row>
    <row r="85" spans="1:10" x14ac:dyDescent="0.25">
      <c r="A85" s="1">
        <v>1042</v>
      </c>
      <c r="B85" s="1" t="s">
        <v>13</v>
      </c>
      <c r="C85" s="1" t="s">
        <v>14</v>
      </c>
      <c r="D85" s="1" t="s">
        <v>18</v>
      </c>
      <c r="E85" s="2">
        <v>45693</v>
      </c>
      <c r="F85" s="1">
        <v>11</v>
      </c>
      <c r="G85" s="1">
        <v>26478</v>
      </c>
      <c r="H85" s="1" t="s">
        <v>26</v>
      </c>
      <c r="I85" s="1">
        <v>291258</v>
      </c>
      <c r="J85" t="str">
        <f t="shared" si="1"/>
        <v>February</v>
      </c>
    </row>
    <row r="86" spans="1:10" x14ac:dyDescent="0.25">
      <c r="A86" s="1">
        <v>1003</v>
      </c>
      <c r="B86" s="1" t="s">
        <v>27</v>
      </c>
      <c r="C86" s="1" t="s">
        <v>14</v>
      </c>
      <c r="D86" s="1" t="s">
        <v>15</v>
      </c>
      <c r="E86" s="2">
        <v>45250</v>
      </c>
      <c r="F86" s="1">
        <v>43</v>
      </c>
      <c r="G86" s="1">
        <v>3078</v>
      </c>
      <c r="H86" s="1" t="s">
        <v>26</v>
      </c>
      <c r="I86" s="1">
        <v>132354</v>
      </c>
      <c r="J86" t="str">
        <f t="shared" si="1"/>
        <v>November</v>
      </c>
    </row>
    <row r="87" spans="1:10" x14ac:dyDescent="0.25">
      <c r="A87" s="1">
        <v>1012</v>
      </c>
      <c r="B87" s="1" t="s">
        <v>27</v>
      </c>
      <c r="C87" s="1" t="s">
        <v>14</v>
      </c>
      <c r="D87" s="1" t="s">
        <v>11</v>
      </c>
      <c r="E87" s="2">
        <v>45746</v>
      </c>
      <c r="F87" s="1">
        <v>22</v>
      </c>
      <c r="G87" s="1">
        <v>38456</v>
      </c>
      <c r="H87" s="1" t="s">
        <v>23</v>
      </c>
      <c r="I87" s="1">
        <v>846032</v>
      </c>
      <c r="J87" t="str">
        <f t="shared" si="1"/>
        <v>March</v>
      </c>
    </row>
    <row r="88" spans="1:10" x14ac:dyDescent="0.25">
      <c r="A88" s="1">
        <v>1036</v>
      </c>
      <c r="B88" s="1" t="s">
        <v>27</v>
      </c>
      <c r="C88" s="1" t="s">
        <v>14</v>
      </c>
      <c r="D88" s="1" t="s">
        <v>21</v>
      </c>
      <c r="E88" s="2">
        <v>45925</v>
      </c>
      <c r="F88" s="1">
        <v>25</v>
      </c>
      <c r="G88" s="1">
        <v>36212</v>
      </c>
      <c r="H88" s="1" t="s">
        <v>16</v>
      </c>
      <c r="I88" s="1">
        <v>905300</v>
      </c>
      <c r="J88" t="str">
        <f t="shared" si="1"/>
        <v>September</v>
      </c>
    </row>
    <row r="89" spans="1:10" x14ac:dyDescent="0.25">
      <c r="A89" s="1">
        <v>1005</v>
      </c>
      <c r="B89" s="1" t="s">
        <v>24</v>
      </c>
      <c r="C89" s="1" t="s">
        <v>14</v>
      </c>
      <c r="D89" s="1" t="s">
        <v>18</v>
      </c>
      <c r="E89" s="2">
        <v>45015</v>
      </c>
      <c r="F89" s="1">
        <v>25</v>
      </c>
      <c r="G89" s="1">
        <v>25646</v>
      </c>
      <c r="H89" s="1" t="s">
        <v>12</v>
      </c>
      <c r="I89" s="1">
        <v>641150</v>
      </c>
      <c r="J89" t="str">
        <f t="shared" si="1"/>
        <v>March</v>
      </c>
    </row>
    <row r="90" spans="1:10" x14ac:dyDescent="0.25">
      <c r="A90" s="1">
        <v>1019</v>
      </c>
      <c r="B90" s="1" t="s">
        <v>22</v>
      </c>
      <c r="C90" s="1" t="s">
        <v>14</v>
      </c>
      <c r="D90" s="1" t="s">
        <v>21</v>
      </c>
      <c r="E90" s="2">
        <v>45339</v>
      </c>
      <c r="F90" s="1">
        <v>25</v>
      </c>
      <c r="G90" s="1">
        <v>5906</v>
      </c>
      <c r="H90" s="1" t="s">
        <v>23</v>
      </c>
      <c r="I90" s="1">
        <v>147650</v>
      </c>
      <c r="J90" t="str">
        <f t="shared" si="1"/>
        <v>February</v>
      </c>
    </row>
    <row r="91" spans="1:10" x14ac:dyDescent="0.25">
      <c r="A91" s="1">
        <v>1012</v>
      </c>
      <c r="B91" s="1" t="s">
        <v>13</v>
      </c>
      <c r="C91" s="1" t="s">
        <v>10</v>
      </c>
      <c r="D91" s="1" t="s">
        <v>15</v>
      </c>
      <c r="E91" s="2">
        <v>45267</v>
      </c>
      <c r="F91" s="1">
        <v>35</v>
      </c>
      <c r="G91" s="1">
        <v>35719</v>
      </c>
      <c r="H91" s="1" t="s">
        <v>26</v>
      </c>
      <c r="I91" s="1">
        <v>1250165</v>
      </c>
      <c r="J91" t="str">
        <f t="shared" si="1"/>
        <v>December</v>
      </c>
    </row>
    <row r="92" spans="1:10" x14ac:dyDescent="0.25">
      <c r="A92" s="1">
        <v>1027</v>
      </c>
      <c r="B92" s="1" t="s">
        <v>13</v>
      </c>
      <c r="C92" s="1" t="s">
        <v>10</v>
      </c>
      <c r="D92" s="1" t="s">
        <v>21</v>
      </c>
      <c r="E92" s="2">
        <v>45423</v>
      </c>
      <c r="F92" s="1">
        <v>35</v>
      </c>
      <c r="G92" s="1">
        <v>18539</v>
      </c>
      <c r="H92" s="1" t="s">
        <v>29</v>
      </c>
      <c r="I92" s="1">
        <v>648865</v>
      </c>
      <c r="J92" t="str">
        <f t="shared" si="1"/>
        <v>May</v>
      </c>
    </row>
    <row r="93" spans="1:10" x14ac:dyDescent="0.25">
      <c r="A93" s="1">
        <v>1017</v>
      </c>
      <c r="B93" s="1" t="s">
        <v>32</v>
      </c>
      <c r="C93" s="1" t="s">
        <v>14</v>
      </c>
      <c r="D93" s="1" t="s">
        <v>15</v>
      </c>
      <c r="E93" s="2">
        <v>45407</v>
      </c>
      <c r="F93" s="1">
        <v>46</v>
      </c>
      <c r="G93" s="1">
        <v>45773</v>
      </c>
      <c r="H93" s="1" t="s">
        <v>19</v>
      </c>
      <c r="I93" s="1">
        <v>2105558</v>
      </c>
      <c r="J93" t="str">
        <f t="shared" si="1"/>
        <v>April</v>
      </c>
    </row>
    <row r="94" spans="1:10" x14ac:dyDescent="0.25">
      <c r="A94" s="1">
        <v>1043</v>
      </c>
      <c r="B94" s="1" t="s">
        <v>31</v>
      </c>
      <c r="C94" s="1" t="s">
        <v>14</v>
      </c>
      <c r="D94" s="1" t="s">
        <v>11</v>
      </c>
      <c r="E94" s="2">
        <v>45351</v>
      </c>
      <c r="F94" s="1">
        <v>35</v>
      </c>
      <c r="G94" s="1">
        <v>29959</v>
      </c>
      <c r="H94" s="1" t="s">
        <v>12</v>
      </c>
      <c r="I94" s="1">
        <v>1048565</v>
      </c>
      <c r="J94" t="str">
        <f t="shared" si="1"/>
        <v>February</v>
      </c>
    </row>
    <row r="95" spans="1:10" x14ac:dyDescent="0.25">
      <c r="A95" s="1">
        <v>1028</v>
      </c>
      <c r="B95" s="1" t="s">
        <v>13</v>
      </c>
      <c r="C95" s="1" t="s">
        <v>14</v>
      </c>
      <c r="D95" s="1" t="s">
        <v>15</v>
      </c>
      <c r="E95" s="2">
        <v>45811</v>
      </c>
      <c r="F95" s="1">
        <v>47</v>
      </c>
      <c r="G95" s="1">
        <v>21670</v>
      </c>
      <c r="H95" s="1" t="s">
        <v>23</v>
      </c>
      <c r="I95" s="1">
        <v>1018490</v>
      </c>
      <c r="J95" t="str">
        <f t="shared" si="1"/>
        <v>June</v>
      </c>
    </row>
    <row r="96" spans="1:10" x14ac:dyDescent="0.25">
      <c r="A96" s="1">
        <v>1040</v>
      </c>
      <c r="B96" s="1" t="s">
        <v>24</v>
      </c>
      <c r="C96" s="1" t="s">
        <v>10</v>
      </c>
      <c r="D96" s="1" t="s">
        <v>11</v>
      </c>
      <c r="E96" s="2">
        <v>45689</v>
      </c>
      <c r="F96" s="1">
        <v>44</v>
      </c>
      <c r="G96" s="1">
        <v>11539</v>
      </c>
      <c r="H96" s="1" t="s">
        <v>12</v>
      </c>
      <c r="I96" s="1">
        <v>507716</v>
      </c>
      <c r="J96" t="str">
        <f t="shared" si="1"/>
        <v>February</v>
      </c>
    </row>
    <row r="97" spans="1:10" x14ac:dyDescent="0.25">
      <c r="A97" s="1">
        <v>1022</v>
      </c>
      <c r="B97" s="1" t="s">
        <v>25</v>
      </c>
      <c r="C97" s="1" t="s">
        <v>10</v>
      </c>
      <c r="D97" s="1" t="s">
        <v>15</v>
      </c>
      <c r="E97" s="2">
        <v>45886</v>
      </c>
      <c r="F97" s="1">
        <v>17</v>
      </c>
      <c r="G97" s="1">
        <v>49583</v>
      </c>
      <c r="H97" s="1" t="s">
        <v>16</v>
      </c>
      <c r="I97" s="1">
        <v>842911</v>
      </c>
      <c r="J97" t="str">
        <f t="shared" si="1"/>
        <v>August</v>
      </c>
    </row>
    <row r="98" spans="1:10" x14ac:dyDescent="0.25">
      <c r="A98" s="1">
        <v>1010</v>
      </c>
      <c r="B98" s="1" t="s">
        <v>13</v>
      </c>
      <c r="C98" s="1" t="s">
        <v>10</v>
      </c>
      <c r="D98" s="1" t="s">
        <v>11</v>
      </c>
      <c r="E98" s="2">
        <v>44985</v>
      </c>
      <c r="F98" s="1">
        <v>9</v>
      </c>
      <c r="G98" s="1">
        <v>20769</v>
      </c>
      <c r="H98" s="1" t="s">
        <v>23</v>
      </c>
      <c r="I98" s="1">
        <v>186921</v>
      </c>
      <c r="J98" t="str">
        <f t="shared" si="1"/>
        <v>February</v>
      </c>
    </row>
    <row r="99" spans="1:10" x14ac:dyDescent="0.25">
      <c r="A99" s="1">
        <v>1041</v>
      </c>
      <c r="B99" s="1" t="s">
        <v>24</v>
      </c>
      <c r="C99" s="1" t="s">
        <v>14</v>
      </c>
      <c r="D99" s="1" t="s">
        <v>15</v>
      </c>
      <c r="E99" s="2">
        <v>45004</v>
      </c>
      <c r="F99" s="1">
        <v>11</v>
      </c>
      <c r="G99" s="1">
        <v>33133</v>
      </c>
      <c r="H99" s="1" t="s">
        <v>30</v>
      </c>
      <c r="I99" s="1">
        <v>364463</v>
      </c>
      <c r="J99" t="str">
        <f t="shared" si="1"/>
        <v>March</v>
      </c>
    </row>
    <row r="100" spans="1:10" x14ac:dyDescent="0.25">
      <c r="A100" s="1">
        <v>1006</v>
      </c>
      <c r="B100" s="1" t="s">
        <v>17</v>
      </c>
      <c r="C100" s="1" t="s">
        <v>10</v>
      </c>
      <c r="D100" s="1" t="s">
        <v>11</v>
      </c>
      <c r="E100" s="2">
        <v>44935</v>
      </c>
      <c r="F100" s="1">
        <v>39</v>
      </c>
      <c r="G100" s="1">
        <v>41804</v>
      </c>
      <c r="H100" s="1" t="s">
        <v>19</v>
      </c>
      <c r="I100" s="1">
        <v>1630356</v>
      </c>
      <c r="J100" t="str">
        <f t="shared" si="1"/>
        <v>January</v>
      </c>
    </row>
    <row r="101" spans="1:10" x14ac:dyDescent="0.25">
      <c r="A101" s="1">
        <v>1017</v>
      </c>
      <c r="B101" s="1" t="s">
        <v>27</v>
      </c>
      <c r="C101" s="1" t="s">
        <v>14</v>
      </c>
      <c r="D101" s="1" t="s">
        <v>18</v>
      </c>
      <c r="E101" s="2">
        <v>45317</v>
      </c>
      <c r="F101" s="1">
        <v>12</v>
      </c>
      <c r="G101" s="1">
        <v>47266</v>
      </c>
      <c r="H101" s="1" t="s">
        <v>12</v>
      </c>
      <c r="I101" s="1">
        <v>567192</v>
      </c>
      <c r="J101" t="str">
        <f t="shared" si="1"/>
        <v>January</v>
      </c>
    </row>
    <row r="102" spans="1:10" x14ac:dyDescent="0.25">
      <c r="A102" s="1">
        <v>1012</v>
      </c>
      <c r="B102" s="1" t="s">
        <v>20</v>
      </c>
      <c r="C102" s="1" t="s">
        <v>14</v>
      </c>
      <c r="D102" s="1" t="s">
        <v>11</v>
      </c>
      <c r="E102" s="2">
        <v>46016</v>
      </c>
      <c r="F102" s="1">
        <v>24</v>
      </c>
      <c r="G102" s="1">
        <v>36945</v>
      </c>
      <c r="H102" s="1" t="s">
        <v>12</v>
      </c>
      <c r="I102" s="1">
        <v>886680</v>
      </c>
      <c r="J102" t="str">
        <f t="shared" si="1"/>
        <v>December</v>
      </c>
    </row>
    <row r="103" spans="1:10" x14ac:dyDescent="0.25">
      <c r="A103" s="1">
        <v>1006</v>
      </c>
      <c r="B103" s="1" t="s">
        <v>9</v>
      </c>
      <c r="C103" s="1" t="s">
        <v>10</v>
      </c>
      <c r="D103" s="1" t="s">
        <v>21</v>
      </c>
      <c r="E103" s="2">
        <v>45479</v>
      </c>
      <c r="F103" s="1">
        <v>27</v>
      </c>
      <c r="G103" s="1">
        <v>32431</v>
      </c>
      <c r="H103" s="1" t="s">
        <v>12</v>
      </c>
      <c r="I103" s="1">
        <v>875637</v>
      </c>
      <c r="J103" t="str">
        <f t="shared" si="1"/>
        <v>July</v>
      </c>
    </row>
    <row r="104" spans="1:10" x14ac:dyDescent="0.25">
      <c r="A104" s="1">
        <v>1043</v>
      </c>
      <c r="B104" s="1" t="s">
        <v>17</v>
      </c>
      <c r="C104" s="1" t="s">
        <v>14</v>
      </c>
      <c r="D104" s="1" t="s">
        <v>18</v>
      </c>
      <c r="E104" s="2">
        <v>45387</v>
      </c>
      <c r="F104" s="1">
        <v>22</v>
      </c>
      <c r="G104" s="1">
        <v>3376</v>
      </c>
      <c r="H104" s="1" t="s">
        <v>12</v>
      </c>
      <c r="I104" s="1">
        <v>74272</v>
      </c>
      <c r="J104" t="str">
        <f t="shared" si="1"/>
        <v>April</v>
      </c>
    </row>
    <row r="105" spans="1:10" x14ac:dyDescent="0.25">
      <c r="A105" s="1">
        <v>1022</v>
      </c>
      <c r="B105" s="1" t="s">
        <v>27</v>
      </c>
      <c r="C105" s="1" t="s">
        <v>10</v>
      </c>
      <c r="D105" s="1" t="s">
        <v>15</v>
      </c>
      <c r="E105" s="2">
        <v>45562</v>
      </c>
      <c r="F105" s="1">
        <v>6</v>
      </c>
      <c r="G105" s="1">
        <v>16201</v>
      </c>
      <c r="H105" s="1" t="s">
        <v>28</v>
      </c>
      <c r="I105" s="1">
        <v>97206</v>
      </c>
      <c r="J105" t="str">
        <f t="shared" si="1"/>
        <v>September</v>
      </c>
    </row>
    <row r="106" spans="1:10" x14ac:dyDescent="0.25">
      <c r="A106" s="1">
        <v>1016</v>
      </c>
      <c r="B106" s="1" t="s">
        <v>31</v>
      </c>
      <c r="C106" s="1" t="s">
        <v>10</v>
      </c>
      <c r="D106" s="1" t="s">
        <v>11</v>
      </c>
      <c r="E106" s="2">
        <v>45062</v>
      </c>
      <c r="F106" s="1">
        <v>5</v>
      </c>
      <c r="G106" s="1">
        <v>38218</v>
      </c>
      <c r="H106" s="1" t="s">
        <v>30</v>
      </c>
      <c r="I106" s="1">
        <v>191090</v>
      </c>
      <c r="J106" t="str">
        <f t="shared" si="1"/>
        <v>May</v>
      </c>
    </row>
    <row r="107" spans="1:10" x14ac:dyDescent="0.25">
      <c r="A107" s="1">
        <v>1004</v>
      </c>
      <c r="B107" s="1" t="s">
        <v>13</v>
      </c>
      <c r="C107" s="1" t="s">
        <v>14</v>
      </c>
      <c r="D107" s="1" t="s">
        <v>11</v>
      </c>
      <c r="E107" s="2">
        <v>45708</v>
      </c>
      <c r="F107" s="1">
        <v>32</v>
      </c>
      <c r="G107" s="1">
        <v>25480</v>
      </c>
      <c r="H107" s="1" t="s">
        <v>23</v>
      </c>
      <c r="I107" s="1">
        <v>815360</v>
      </c>
      <c r="J107" t="str">
        <f t="shared" si="1"/>
        <v>February</v>
      </c>
    </row>
    <row r="108" spans="1:10" x14ac:dyDescent="0.25">
      <c r="A108" s="1">
        <v>1025</v>
      </c>
      <c r="B108" s="1" t="s">
        <v>27</v>
      </c>
      <c r="C108" s="1" t="s">
        <v>14</v>
      </c>
      <c r="D108" s="1" t="s">
        <v>11</v>
      </c>
      <c r="E108" s="2">
        <v>45690</v>
      </c>
      <c r="F108" s="1">
        <v>9</v>
      </c>
      <c r="G108" s="1">
        <v>2402</v>
      </c>
      <c r="H108" s="1" t="s">
        <v>16</v>
      </c>
      <c r="I108" s="1">
        <v>21618</v>
      </c>
      <c r="J108" t="str">
        <f t="shared" si="1"/>
        <v>February</v>
      </c>
    </row>
    <row r="109" spans="1:10" x14ac:dyDescent="0.25">
      <c r="A109" s="1">
        <v>1033</v>
      </c>
      <c r="B109" s="1" t="s">
        <v>25</v>
      </c>
      <c r="C109" s="1" t="s">
        <v>10</v>
      </c>
      <c r="D109" s="1" t="s">
        <v>15</v>
      </c>
      <c r="E109" s="2">
        <v>45398</v>
      </c>
      <c r="F109" s="1">
        <v>31</v>
      </c>
      <c r="G109" s="1">
        <v>672</v>
      </c>
      <c r="H109" s="1" t="s">
        <v>16</v>
      </c>
      <c r="I109" s="1">
        <v>20832</v>
      </c>
      <c r="J109" t="str">
        <f t="shared" si="1"/>
        <v>April</v>
      </c>
    </row>
    <row r="110" spans="1:10" x14ac:dyDescent="0.25">
      <c r="A110" s="1">
        <v>1001</v>
      </c>
      <c r="B110" s="1" t="s">
        <v>25</v>
      </c>
      <c r="C110" s="1" t="s">
        <v>14</v>
      </c>
      <c r="D110" s="1" t="s">
        <v>21</v>
      </c>
      <c r="E110" s="2">
        <v>45502</v>
      </c>
      <c r="F110" s="1">
        <v>16</v>
      </c>
      <c r="G110" s="1">
        <v>9809</v>
      </c>
      <c r="H110" s="1" t="s">
        <v>12</v>
      </c>
      <c r="I110" s="1">
        <v>156944</v>
      </c>
      <c r="J110" t="str">
        <f t="shared" si="1"/>
        <v>July</v>
      </c>
    </row>
    <row r="111" spans="1:10" x14ac:dyDescent="0.25">
      <c r="A111" s="1">
        <v>1015</v>
      </c>
      <c r="B111" s="1" t="s">
        <v>9</v>
      </c>
      <c r="C111" s="1" t="s">
        <v>10</v>
      </c>
      <c r="D111" s="1" t="s">
        <v>15</v>
      </c>
      <c r="E111" s="2">
        <v>45408</v>
      </c>
      <c r="F111" s="1">
        <v>37</v>
      </c>
      <c r="G111" s="1">
        <v>24836</v>
      </c>
      <c r="H111" s="1" t="s">
        <v>16</v>
      </c>
      <c r="I111" s="1">
        <v>918932</v>
      </c>
      <c r="J111" t="str">
        <f t="shared" si="1"/>
        <v>April</v>
      </c>
    </row>
    <row r="112" spans="1:10" x14ac:dyDescent="0.25">
      <c r="A112" s="1">
        <v>1017</v>
      </c>
      <c r="B112" s="1" t="s">
        <v>9</v>
      </c>
      <c r="C112" s="1" t="s">
        <v>10</v>
      </c>
      <c r="D112" s="1" t="s">
        <v>11</v>
      </c>
      <c r="E112" s="2">
        <v>45442</v>
      </c>
      <c r="F112" s="1">
        <v>19</v>
      </c>
      <c r="G112" s="1">
        <v>6702</v>
      </c>
      <c r="H112" s="1" t="s">
        <v>29</v>
      </c>
      <c r="I112" s="1">
        <v>127338</v>
      </c>
      <c r="J112" t="str">
        <f t="shared" si="1"/>
        <v>May</v>
      </c>
    </row>
    <row r="113" spans="1:10" x14ac:dyDescent="0.25">
      <c r="A113" s="1">
        <v>1043</v>
      </c>
      <c r="B113" s="1" t="s">
        <v>24</v>
      </c>
      <c r="C113" s="1" t="s">
        <v>14</v>
      </c>
      <c r="D113" s="1" t="s">
        <v>18</v>
      </c>
      <c r="E113" s="2">
        <v>44944</v>
      </c>
      <c r="F113" s="1">
        <v>24</v>
      </c>
      <c r="G113" s="1">
        <v>29020</v>
      </c>
      <c r="H113" s="1" t="s">
        <v>12</v>
      </c>
      <c r="I113" s="1">
        <v>696480</v>
      </c>
      <c r="J113" t="str">
        <f t="shared" si="1"/>
        <v>January</v>
      </c>
    </row>
    <row r="114" spans="1:10" x14ac:dyDescent="0.25">
      <c r="A114" s="1">
        <v>1019</v>
      </c>
      <c r="B114" s="1" t="s">
        <v>20</v>
      </c>
      <c r="C114" s="1" t="s">
        <v>10</v>
      </c>
      <c r="D114" s="1" t="s">
        <v>11</v>
      </c>
      <c r="E114" s="2">
        <v>45677</v>
      </c>
      <c r="F114" s="1">
        <v>12</v>
      </c>
      <c r="G114" s="1">
        <v>46964</v>
      </c>
      <c r="H114" s="1" t="s">
        <v>29</v>
      </c>
      <c r="I114" s="1">
        <v>563568</v>
      </c>
      <c r="J114" t="str">
        <f t="shared" si="1"/>
        <v>January</v>
      </c>
    </row>
    <row r="115" spans="1:10" x14ac:dyDescent="0.25">
      <c r="A115" s="1">
        <v>1019</v>
      </c>
      <c r="B115" s="1" t="s">
        <v>20</v>
      </c>
      <c r="C115" s="1" t="s">
        <v>10</v>
      </c>
      <c r="D115" s="1" t="s">
        <v>18</v>
      </c>
      <c r="E115" s="2">
        <v>45124</v>
      </c>
      <c r="F115" s="1">
        <v>41</v>
      </c>
      <c r="G115" s="1">
        <v>1417</v>
      </c>
      <c r="H115" s="1" t="s">
        <v>16</v>
      </c>
      <c r="I115" s="1">
        <v>58097</v>
      </c>
      <c r="J115" t="str">
        <f t="shared" si="1"/>
        <v>July</v>
      </c>
    </row>
    <row r="116" spans="1:10" x14ac:dyDescent="0.25">
      <c r="A116" s="1">
        <v>1020</v>
      </c>
      <c r="B116" s="1" t="s">
        <v>20</v>
      </c>
      <c r="C116" s="1" t="s">
        <v>10</v>
      </c>
      <c r="D116" s="1" t="s">
        <v>11</v>
      </c>
      <c r="E116" s="2">
        <v>45536</v>
      </c>
      <c r="F116" s="1">
        <v>11</v>
      </c>
      <c r="G116" s="1">
        <v>39815</v>
      </c>
      <c r="H116" s="1" t="s">
        <v>16</v>
      </c>
      <c r="I116" s="1">
        <v>437965</v>
      </c>
      <c r="J116" t="str">
        <f t="shared" si="1"/>
        <v>September</v>
      </c>
    </row>
    <row r="117" spans="1:10" x14ac:dyDescent="0.25">
      <c r="A117" s="1">
        <v>1001</v>
      </c>
      <c r="B117" s="1" t="s">
        <v>20</v>
      </c>
      <c r="C117" s="1" t="s">
        <v>14</v>
      </c>
      <c r="D117" s="1" t="s">
        <v>21</v>
      </c>
      <c r="E117" s="2">
        <v>45489</v>
      </c>
      <c r="F117" s="1">
        <v>45</v>
      </c>
      <c r="G117" s="1">
        <v>13917</v>
      </c>
      <c r="H117" s="1" t="s">
        <v>29</v>
      </c>
      <c r="I117" s="1">
        <v>626265</v>
      </c>
      <c r="J117" t="str">
        <f t="shared" si="1"/>
        <v>July</v>
      </c>
    </row>
    <row r="118" spans="1:10" x14ac:dyDescent="0.25">
      <c r="A118" s="1">
        <v>1023</v>
      </c>
      <c r="B118" s="1" t="s">
        <v>9</v>
      </c>
      <c r="C118" s="1" t="s">
        <v>10</v>
      </c>
      <c r="D118" s="1" t="s">
        <v>21</v>
      </c>
      <c r="E118" s="2">
        <v>45585</v>
      </c>
      <c r="F118" s="1">
        <v>25</v>
      </c>
      <c r="G118" s="1">
        <v>3458</v>
      </c>
      <c r="H118" s="1" t="s">
        <v>23</v>
      </c>
      <c r="I118" s="1">
        <v>86450</v>
      </c>
      <c r="J118" t="str">
        <f t="shared" si="1"/>
        <v>October</v>
      </c>
    </row>
    <row r="119" spans="1:10" x14ac:dyDescent="0.25">
      <c r="A119" s="1">
        <v>1016</v>
      </c>
      <c r="B119" s="1" t="s">
        <v>20</v>
      </c>
      <c r="C119" s="1" t="s">
        <v>14</v>
      </c>
      <c r="D119" s="1" t="s">
        <v>15</v>
      </c>
      <c r="E119" s="2">
        <v>45484</v>
      </c>
      <c r="F119" s="1">
        <v>23</v>
      </c>
      <c r="G119" s="1">
        <v>28188</v>
      </c>
      <c r="H119" s="1" t="s">
        <v>12</v>
      </c>
      <c r="I119" s="1">
        <v>648324</v>
      </c>
      <c r="J119" t="str">
        <f t="shared" si="1"/>
        <v>July</v>
      </c>
    </row>
    <row r="120" spans="1:10" x14ac:dyDescent="0.25">
      <c r="A120" s="1">
        <v>1024</v>
      </c>
      <c r="B120" s="1" t="s">
        <v>32</v>
      </c>
      <c r="C120" s="1" t="s">
        <v>14</v>
      </c>
      <c r="D120" s="1" t="s">
        <v>21</v>
      </c>
      <c r="E120" s="2">
        <v>45858</v>
      </c>
      <c r="F120" s="1">
        <v>46</v>
      </c>
      <c r="G120" s="1">
        <v>22255</v>
      </c>
      <c r="H120" s="1" t="s">
        <v>16</v>
      </c>
      <c r="I120" s="1">
        <v>1023730</v>
      </c>
      <c r="J120" t="str">
        <f t="shared" si="1"/>
        <v>July</v>
      </c>
    </row>
    <row r="121" spans="1:10" x14ac:dyDescent="0.25">
      <c r="A121" s="1">
        <v>1020</v>
      </c>
      <c r="B121" s="1" t="s">
        <v>25</v>
      </c>
      <c r="C121" s="1" t="s">
        <v>14</v>
      </c>
      <c r="D121" s="1" t="s">
        <v>18</v>
      </c>
      <c r="E121" s="2">
        <v>45402</v>
      </c>
      <c r="F121" s="1">
        <v>34</v>
      </c>
      <c r="G121" s="1">
        <v>41766</v>
      </c>
      <c r="H121" s="1" t="s">
        <v>19</v>
      </c>
      <c r="I121" s="1">
        <v>1420044</v>
      </c>
      <c r="J121" t="str">
        <f t="shared" si="1"/>
        <v>April</v>
      </c>
    </row>
    <row r="122" spans="1:10" x14ac:dyDescent="0.25">
      <c r="A122" s="1">
        <v>1015</v>
      </c>
      <c r="B122" s="1" t="s">
        <v>24</v>
      </c>
      <c r="C122" s="1" t="s">
        <v>14</v>
      </c>
      <c r="D122" s="1" t="s">
        <v>15</v>
      </c>
      <c r="E122" s="2">
        <v>45613</v>
      </c>
      <c r="F122" s="1">
        <v>15</v>
      </c>
      <c r="G122" s="1">
        <v>10543</v>
      </c>
      <c r="H122" s="1" t="s">
        <v>23</v>
      </c>
      <c r="I122" s="1">
        <v>158145</v>
      </c>
      <c r="J122" t="str">
        <f t="shared" si="1"/>
        <v>November</v>
      </c>
    </row>
    <row r="123" spans="1:10" x14ac:dyDescent="0.25">
      <c r="A123" s="1">
        <v>1024</v>
      </c>
      <c r="B123" s="1" t="s">
        <v>25</v>
      </c>
      <c r="C123" s="1" t="s">
        <v>14</v>
      </c>
      <c r="D123" s="1" t="s">
        <v>21</v>
      </c>
      <c r="E123" s="2">
        <v>45430</v>
      </c>
      <c r="F123" s="1">
        <v>43</v>
      </c>
      <c r="G123" s="1">
        <v>33130</v>
      </c>
      <c r="H123" s="1" t="s">
        <v>30</v>
      </c>
      <c r="I123" s="1">
        <v>1424590</v>
      </c>
      <c r="J123" t="str">
        <f t="shared" si="1"/>
        <v>May</v>
      </c>
    </row>
    <row r="124" spans="1:10" x14ac:dyDescent="0.25">
      <c r="A124" s="1">
        <v>1037</v>
      </c>
      <c r="B124" s="1" t="s">
        <v>20</v>
      </c>
      <c r="C124" s="1" t="s">
        <v>10</v>
      </c>
      <c r="D124" s="1" t="s">
        <v>11</v>
      </c>
      <c r="E124" s="2">
        <v>45000</v>
      </c>
      <c r="F124" s="1">
        <v>48</v>
      </c>
      <c r="G124" s="1">
        <v>14986</v>
      </c>
      <c r="H124" s="1" t="s">
        <v>29</v>
      </c>
      <c r="I124" s="1">
        <v>719328</v>
      </c>
      <c r="J124" t="str">
        <f t="shared" si="1"/>
        <v>March</v>
      </c>
    </row>
    <row r="125" spans="1:10" x14ac:dyDescent="0.25">
      <c r="A125" s="1">
        <v>1041</v>
      </c>
      <c r="B125" s="1" t="s">
        <v>31</v>
      </c>
      <c r="C125" s="1" t="s">
        <v>10</v>
      </c>
      <c r="D125" s="1" t="s">
        <v>21</v>
      </c>
      <c r="E125" s="2">
        <v>45904</v>
      </c>
      <c r="F125" s="1">
        <v>3</v>
      </c>
      <c r="G125" s="1">
        <v>49644</v>
      </c>
      <c r="H125" s="1" t="s">
        <v>28</v>
      </c>
      <c r="I125" s="1">
        <v>148932</v>
      </c>
      <c r="J125" t="str">
        <f t="shared" si="1"/>
        <v>September</v>
      </c>
    </row>
    <row r="126" spans="1:10" x14ac:dyDescent="0.25">
      <c r="A126" s="1">
        <v>1033</v>
      </c>
      <c r="B126" s="1" t="s">
        <v>24</v>
      </c>
      <c r="C126" s="1" t="s">
        <v>10</v>
      </c>
      <c r="D126" s="1" t="s">
        <v>15</v>
      </c>
      <c r="E126" s="2">
        <v>45501</v>
      </c>
      <c r="F126" s="1">
        <v>14</v>
      </c>
      <c r="G126" s="1">
        <v>34098</v>
      </c>
      <c r="H126" s="1" t="s">
        <v>12</v>
      </c>
      <c r="I126" s="1">
        <v>477372</v>
      </c>
      <c r="J126" t="str">
        <f t="shared" si="1"/>
        <v>July</v>
      </c>
    </row>
    <row r="127" spans="1:10" x14ac:dyDescent="0.25">
      <c r="A127" s="1">
        <v>1032</v>
      </c>
      <c r="B127" s="1" t="s">
        <v>27</v>
      </c>
      <c r="C127" s="1" t="s">
        <v>14</v>
      </c>
      <c r="D127" s="1" t="s">
        <v>21</v>
      </c>
      <c r="E127" s="2">
        <v>45019</v>
      </c>
      <c r="F127" s="1">
        <v>20</v>
      </c>
      <c r="G127" s="1">
        <v>9116</v>
      </c>
      <c r="H127" s="1" t="s">
        <v>29</v>
      </c>
      <c r="I127" s="1">
        <v>182320</v>
      </c>
      <c r="J127" t="str">
        <f t="shared" si="1"/>
        <v>April</v>
      </c>
    </row>
    <row r="128" spans="1:10" x14ac:dyDescent="0.25">
      <c r="A128" s="1">
        <v>1031</v>
      </c>
      <c r="B128" s="1" t="s">
        <v>22</v>
      </c>
      <c r="C128" s="1" t="s">
        <v>10</v>
      </c>
      <c r="D128" s="1" t="s">
        <v>18</v>
      </c>
      <c r="E128" s="2">
        <v>45386</v>
      </c>
      <c r="F128" s="1">
        <v>48</v>
      </c>
      <c r="G128" s="1">
        <v>4251</v>
      </c>
      <c r="H128" s="1" t="s">
        <v>28</v>
      </c>
      <c r="I128" s="1">
        <v>204048</v>
      </c>
      <c r="J128" t="str">
        <f t="shared" si="1"/>
        <v>April</v>
      </c>
    </row>
    <row r="129" spans="1:10" x14ac:dyDescent="0.25">
      <c r="A129" s="1">
        <v>1015</v>
      </c>
      <c r="B129" s="1" t="s">
        <v>13</v>
      </c>
      <c r="C129" s="1" t="s">
        <v>14</v>
      </c>
      <c r="D129" s="1" t="s">
        <v>18</v>
      </c>
      <c r="E129" s="2">
        <v>45826</v>
      </c>
      <c r="F129" s="1">
        <v>49</v>
      </c>
      <c r="G129" s="1">
        <v>13564</v>
      </c>
      <c r="H129" s="1" t="s">
        <v>28</v>
      </c>
      <c r="I129" s="1">
        <v>664636</v>
      </c>
      <c r="J129" t="str">
        <f t="shared" si="1"/>
        <v>June</v>
      </c>
    </row>
    <row r="130" spans="1:10" x14ac:dyDescent="0.25">
      <c r="A130" s="1">
        <v>1001</v>
      </c>
      <c r="B130" s="1" t="s">
        <v>27</v>
      </c>
      <c r="C130" s="1" t="s">
        <v>10</v>
      </c>
      <c r="D130" s="1" t="s">
        <v>18</v>
      </c>
      <c r="E130" s="2">
        <v>45484</v>
      </c>
      <c r="F130" s="1">
        <v>26</v>
      </c>
      <c r="G130" s="1">
        <v>2305</v>
      </c>
      <c r="H130" s="1" t="s">
        <v>28</v>
      </c>
      <c r="I130" s="1">
        <v>59930</v>
      </c>
      <c r="J130" t="str">
        <f t="shared" si="1"/>
        <v>July</v>
      </c>
    </row>
    <row r="131" spans="1:10" x14ac:dyDescent="0.25">
      <c r="A131" s="1">
        <v>1049</v>
      </c>
      <c r="B131" s="1" t="s">
        <v>24</v>
      </c>
      <c r="C131" s="1" t="s">
        <v>14</v>
      </c>
      <c r="D131" s="1" t="s">
        <v>18</v>
      </c>
      <c r="E131" s="2">
        <v>45561</v>
      </c>
      <c r="F131" s="1">
        <v>44</v>
      </c>
      <c r="G131" s="1">
        <v>8689</v>
      </c>
      <c r="H131" s="1" t="s">
        <v>19</v>
      </c>
      <c r="I131" s="1">
        <v>382316</v>
      </c>
      <c r="J131" t="str">
        <f t="shared" ref="J131:J194" si="2">TEXT(E131,"mmmm")</f>
        <v>September</v>
      </c>
    </row>
    <row r="132" spans="1:10" x14ac:dyDescent="0.25">
      <c r="A132" s="1">
        <v>1012</v>
      </c>
      <c r="B132" s="1" t="s">
        <v>22</v>
      </c>
      <c r="C132" s="1" t="s">
        <v>10</v>
      </c>
      <c r="D132" s="1" t="s">
        <v>18</v>
      </c>
      <c r="E132" s="2">
        <v>45369</v>
      </c>
      <c r="F132" s="1">
        <v>37</v>
      </c>
      <c r="G132" s="1">
        <v>13412</v>
      </c>
      <c r="H132" s="1" t="s">
        <v>30</v>
      </c>
      <c r="I132" s="1">
        <v>496244</v>
      </c>
      <c r="J132" t="str">
        <f t="shared" si="2"/>
        <v>March</v>
      </c>
    </row>
    <row r="133" spans="1:10" x14ac:dyDescent="0.25">
      <c r="A133" s="1">
        <v>1035</v>
      </c>
      <c r="B133" s="1" t="s">
        <v>9</v>
      </c>
      <c r="C133" s="1" t="s">
        <v>10</v>
      </c>
      <c r="D133" s="1" t="s">
        <v>15</v>
      </c>
      <c r="E133" s="2">
        <v>45334</v>
      </c>
      <c r="F133" s="1">
        <v>4</v>
      </c>
      <c r="G133" s="1">
        <v>31104</v>
      </c>
      <c r="H133" s="1" t="s">
        <v>12</v>
      </c>
      <c r="I133" s="1">
        <v>124416</v>
      </c>
      <c r="J133" t="str">
        <f t="shared" si="2"/>
        <v>February</v>
      </c>
    </row>
    <row r="134" spans="1:10" x14ac:dyDescent="0.25">
      <c r="A134" s="1">
        <v>1037</v>
      </c>
      <c r="B134" s="1" t="s">
        <v>17</v>
      </c>
      <c r="C134" s="1" t="s">
        <v>14</v>
      </c>
      <c r="D134" s="1" t="s">
        <v>21</v>
      </c>
      <c r="E134" s="2">
        <v>45208</v>
      </c>
      <c r="F134" s="1">
        <v>40</v>
      </c>
      <c r="G134" s="1">
        <v>49743</v>
      </c>
      <c r="H134" s="1" t="s">
        <v>12</v>
      </c>
      <c r="I134" s="1">
        <v>1989720</v>
      </c>
      <c r="J134" t="str">
        <f t="shared" si="2"/>
        <v>October</v>
      </c>
    </row>
    <row r="135" spans="1:10" x14ac:dyDescent="0.25">
      <c r="A135" s="1">
        <v>1048</v>
      </c>
      <c r="B135" s="1" t="s">
        <v>22</v>
      </c>
      <c r="C135" s="1" t="s">
        <v>14</v>
      </c>
      <c r="D135" s="1" t="s">
        <v>15</v>
      </c>
      <c r="E135" s="2">
        <v>45722</v>
      </c>
      <c r="F135" s="1">
        <v>46</v>
      </c>
      <c r="G135" s="1">
        <v>25934</v>
      </c>
      <c r="H135" s="1" t="s">
        <v>19</v>
      </c>
      <c r="I135" s="1">
        <v>1192964</v>
      </c>
      <c r="J135" t="str">
        <f t="shared" si="2"/>
        <v>March</v>
      </c>
    </row>
    <row r="136" spans="1:10" x14ac:dyDescent="0.25">
      <c r="A136" s="1">
        <v>1030</v>
      </c>
      <c r="B136" s="1" t="s">
        <v>17</v>
      </c>
      <c r="C136" s="1" t="s">
        <v>10</v>
      </c>
      <c r="D136" s="1" t="s">
        <v>21</v>
      </c>
      <c r="E136" s="2">
        <v>45368</v>
      </c>
      <c r="F136" s="1">
        <v>46</v>
      </c>
      <c r="G136" s="1">
        <v>13818</v>
      </c>
      <c r="H136" s="1" t="s">
        <v>16</v>
      </c>
      <c r="I136" s="1">
        <v>635628</v>
      </c>
      <c r="J136" t="str">
        <f t="shared" si="2"/>
        <v>March</v>
      </c>
    </row>
    <row r="137" spans="1:10" x14ac:dyDescent="0.25">
      <c r="A137" s="1">
        <v>1026</v>
      </c>
      <c r="B137" s="1" t="s">
        <v>13</v>
      </c>
      <c r="C137" s="1" t="s">
        <v>14</v>
      </c>
      <c r="D137" s="1" t="s">
        <v>18</v>
      </c>
      <c r="E137" s="2">
        <v>45549</v>
      </c>
      <c r="F137" s="1">
        <v>35</v>
      </c>
      <c r="G137" s="1">
        <v>42271</v>
      </c>
      <c r="H137" s="1" t="s">
        <v>29</v>
      </c>
      <c r="I137" s="1">
        <v>1479485</v>
      </c>
      <c r="J137" t="str">
        <f t="shared" si="2"/>
        <v>September</v>
      </c>
    </row>
    <row r="138" spans="1:10" x14ac:dyDescent="0.25">
      <c r="A138" s="1">
        <v>1011</v>
      </c>
      <c r="B138" s="1" t="s">
        <v>31</v>
      </c>
      <c r="C138" s="1" t="s">
        <v>14</v>
      </c>
      <c r="D138" s="1" t="s">
        <v>11</v>
      </c>
      <c r="E138" s="2">
        <v>45186</v>
      </c>
      <c r="F138" s="1">
        <v>23</v>
      </c>
      <c r="G138" s="1">
        <v>18637</v>
      </c>
      <c r="H138" s="1" t="s">
        <v>26</v>
      </c>
      <c r="I138" s="1">
        <v>428651</v>
      </c>
      <c r="J138" t="str">
        <f t="shared" si="2"/>
        <v>September</v>
      </c>
    </row>
    <row r="139" spans="1:10" x14ac:dyDescent="0.25">
      <c r="A139" s="1">
        <v>1032</v>
      </c>
      <c r="B139" s="1" t="s">
        <v>27</v>
      </c>
      <c r="C139" s="1" t="s">
        <v>14</v>
      </c>
      <c r="D139" s="1" t="s">
        <v>11</v>
      </c>
      <c r="E139" s="2">
        <v>45645</v>
      </c>
      <c r="F139" s="1">
        <v>47</v>
      </c>
      <c r="G139" s="1">
        <v>12453</v>
      </c>
      <c r="H139" s="1" t="s">
        <v>28</v>
      </c>
      <c r="I139" s="1">
        <v>585291</v>
      </c>
      <c r="J139" t="str">
        <f t="shared" si="2"/>
        <v>December</v>
      </c>
    </row>
    <row r="140" spans="1:10" x14ac:dyDescent="0.25">
      <c r="A140" s="1">
        <v>1002</v>
      </c>
      <c r="B140" s="1" t="s">
        <v>27</v>
      </c>
      <c r="C140" s="1" t="s">
        <v>14</v>
      </c>
      <c r="D140" s="1" t="s">
        <v>11</v>
      </c>
      <c r="E140" s="2">
        <v>45882</v>
      </c>
      <c r="F140" s="1">
        <v>25</v>
      </c>
      <c r="G140" s="1">
        <v>20463</v>
      </c>
      <c r="H140" s="1" t="s">
        <v>12</v>
      </c>
      <c r="I140" s="1">
        <v>511575</v>
      </c>
      <c r="J140" t="str">
        <f t="shared" si="2"/>
        <v>August</v>
      </c>
    </row>
    <row r="141" spans="1:10" x14ac:dyDescent="0.25">
      <c r="A141" s="1">
        <v>1010</v>
      </c>
      <c r="B141" s="1" t="s">
        <v>13</v>
      </c>
      <c r="C141" s="1" t="s">
        <v>14</v>
      </c>
      <c r="D141" s="1" t="s">
        <v>21</v>
      </c>
      <c r="E141" s="2">
        <v>45359</v>
      </c>
      <c r="F141" s="1">
        <v>36</v>
      </c>
      <c r="G141" s="1">
        <v>1831</v>
      </c>
      <c r="H141" s="1" t="s">
        <v>23</v>
      </c>
      <c r="I141" s="1">
        <v>65916</v>
      </c>
      <c r="J141" t="str">
        <f t="shared" si="2"/>
        <v>March</v>
      </c>
    </row>
    <row r="142" spans="1:10" x14ac:dyDescent="0.25">
      <c r="A142" s="1">
        <v>1046</v>
      </c>
      <c r="B142" s="1" t="s">
        <v>13</v>
      </c>
      <c r="C142" s="1" t="s">
        <v>14</v>
      </c>
      <c r="D142" s="1" t="s">
        <v>21</v>
      </c>
      <c r="E142" s="2">
        <v>45910</v>
      </c>
      <c r="F142" s="1">
        <v>13</v>
      </c>
      <c r="G142" s="1">
        <v>47077</v>
      </c>
      <c r="H142" s="1" t="s">
        <v>16</v>
      </c>
      <c r="I142" s="1">
        <v>612001</v>
      </c>
      <c r="J142" t="str">
        <f t="shared" si="2"/>
        <v>September</v>
      </c>
    </row>
    <row r="143" spans="1:10" x14ac:dyDescent="0.25">
      <c r="A143" s="1">
        <v>1022</v>
      </c>
      <c r="B143" s="1" t="s">
        <v>20</v>
      </c>
      <c r="C143" s="1" t="s">
        <v>10</v>
      </c>
      <c r="D143" s="1" t="s">
        <v>15</v>
      </c>
      <c r="E143" s="2">
        <v>45782</v>
      </c>
      <c r="F143" s="1">
        <v>28</v>
      </c>
      <c r="G143" s="1">
        <v>49607</v>
      </c>
      <c r="H143" s="1" t="s">
        <v>28</v>
      </c>
      <c r="I143" s="1">
        <v>1388996</v>
      </c>
      <c r="J143" t="str">
        <f t="shared" si="2"/>
        <v>May</v>
      </c>
    </row>
    <row r="144" spans="1:10" x14ac:dyDescent="0.25">
      <c r="A144" s="1">
        <v>1009</v>
      </c>
      <c r="B144" s="1" t="s">
        <v>13</v>
      </c>
      <c r="C144" s="1" t="s">
        <v>14</v>
      </c>
      <c r="D144" s="1" t="s">
        <v>15</v>
      </c>
      <c r="E144" s="2">
        <v>45539</v>
      </c>
      <c r="F144" s="1">
        <v>49</v>
      </c>
      <c r="G144" s="1">
        <v>36960</v>
      </c>
      <c r="H144" s="1" t="s">
        <v>29</v>
      </c>
      <c r="I144" s="1">
        <v>1811040</v>
      </c>
      <c r="J144" t="str">
        <f t="shared" si="2"/>
        <v>September</v>
      </c>
    </row>
    <row r="145" spans="1:10" x14ac:dyDescent="0.25">
      <c r="A145" s="1">
        <v>1030</v>
      </c>
      <c r="B145" s="1" t="s">
        <v>31</v>
      </c>
      <c r="C145" s="1" t="s">
        <v>10</v>
      </c>
      <c r="D145" s="1" t="s">
        <v>21</v>
      </c>
      <c r="E145" s="2">
        <v>45827</v>
      </c>
      <c r="F145" s="1">
        <v>10</v>
      </c>
      <c r="G145" s="1">
        <v>27462</v>
      </c>
      <c r="H145" s="1" t="s">
        <v>16</v>
      </c>
      <c r="I145" s="1">
        <v>274620</v>
      </c>
      <c r="J145" t="str">
        <f t="shared" si="2"/>
        <v>June</v>
      </c>
    </row>
    <row r="146" spans="1:10" x14ac:dyDescent="0.25">
      <c r="A146" s="1">
        <v>1025</v>
      </c>
      <c r="B146" s="1" t="s">
        <v>22</v>
      </c>
      <c r="C146" s="1" t="s">
        <v>10</v>
      </c>
      <c r="D146" s="1" t="s">
        <v>18</v>
      </c>
      <c r="E146" s="2">
        <v>45252</v>
      </c>
      <c r="F146" s="1">
        <v>13</v>
      </c>
      <c r="G146" s="1">
        <v>7180</v>
      </c>
      <c r="H146" s="1" t="s">
        <v>23</v>
      </c>
      <c r="I146" s="1">
        <v>93340</v>
      </c>
      <c r="J146" t="str">
        <f t="shared" si="2"/>
        <v>November</v>
      </c>
    </row>
    <row r="147" spans="1:10" x14ac:dyDescent="0.25">
      <c r="A147" s="1">
        <v>1021</v>
      </c>
      <c r="B147" s="1" t="s">
        <v>31</v>
      </c>
      <c r="C147" s="1" t="s">
        <v>14</v>
      </c>
      <c r="D147" s="1" t="s">
        <v>18</v>
      </c>
      <c r="E147" s="2">
        <v>45239</v>
      </c>
      <c r="F147" s="1">
        <v>44</v>
      </c>
      <c r="G147" s="1">
        <v>49088</v>
      </c>
      <c r="H147" s="1" t="s">
        <v>28</v>
      </c>
      <c r="I147" s="1">
        <v>2159872</v>
      </c>
      <c r="J147" t="str">
        <f t="shared" si="2"/>
        <v>November</v>
      </c>
    </row>
    <row r="148" spans="1:10" x14ac:dyDescent="0.25">
      <c r="A148" s="1">
        <v>1018</v>
      </c>
      <c r="B148" s="1" t="s">
        <v>31</v>
      </c>
      <c r="C148" s="1" t="s">
        <v>10</v>
      </c>
      <c r="D148" s="1" t="s">
        <v>18</v>
      </c>
      <c r="E148" s="2">
        <v>45499</v>
      </c>
      <c r="F148" s="1">
        <v>3</v>
      </c>
      <c r="G148" s="1">
        <v>49035</v>
      </c>
      <c r="H148" s="1" t="s">
        <v>16</v>
      </c>
      <c r="I148" s="1">
        <v>147105</v>
      </c>
      <c r="J148" t="str">
        <f t="shared" si="2"/>
        <v>July</v>
      </c>
    </row>
    <row r="149" spans="1:10" x14ac:dyDescent="0.25">
      <c r="A149" s="1">
        <v>1020</v>
      </c>
      <c r="B149" s="1" t="s">
        <v>20</v>
      </c>
      <c r="C149" s="1" t="s">
        <v>10</v>
      </c>
      <c r="D149" s="1" t="s">
        <v>11</v>
      </c>
      <c r="E149" s="2">
        <v>45576</v>
      </c>
      <c r="F149" s="1">
        <v>19</v>
      </c>
      <c r="G149" s="1">
        <v>45677</v>
      </c>
      <c r="H149" s="1" t="s">
        <v>30</v>
      </c>
      <c r="I149" s="1">
        <v>867863</v>
      </c>
      <c r="J149" t="str">
        <f t="shared" si="2"/>
        <v>October</v>
      </c>
    </row>
    <row r="150" spans="1:10" x14ac:dyDescent="0.25">
      <c r="A150" s="1">
        <v>1040</v>
      </c>
      <c r="B150" s="1" t="s">
        <v>22</v>
      </c>
      <c r="C150" s="1" t="s">
        <v>14</v>
      </c>
      <c r="D150" s="1" t="s">
        <v>15</v>
      </c>
      <c r="E150" s="2">
        <v>45924</v>
      </c>
      <c r="F150" s="1">
        <v>18</v>
      </c>
      <c r="G150" s="1">
        <v>10431</v>
      </c>
      <c r="H150" s="1" t="s">
        <v>26</v>
      </c>
      <c r="I150" s="1">
        <v>187758</v>
      </c>
      <c r="J150" t="str">
        <f t="shared" si="2"/>
        <v>September</v>
      </c>
    </row>
    <row r="151" spans="1:10" x14ac:dyDescent="0.25">
      <c r="A151" s="1">
        <v>1016</v>
      </c>
      <c r="B151" s="1" t="s">
        <v>27</v>
      </c>
      <c r="C151" s="1" t="s">
        <v>14</v>
      </c>
      <c r="D151" s="1" t="s">
        <v>11</v>
      </c>
      <c r="E151" s="2">
        <v>45600</v>
      </c>
      <c r="F151" s="1">
        <v>43</v>
      </c>
      <c r="G151" s="1">
        <v>15724</v>
      </c>
      <c r="H151" s="1" t="s">
        <v>16</v>
      </c>
      <c r="I151" s="1">
        <v>676132</v>
      </c>
      <c r="J151" t="str">
        <f t="shared" si="2"/>
        <v>November</v>
      </c>
    </row>
    <row r="152" spans="1:10" x14ac:dyDescent="0.25">
      <c r="A152" s="1">
        <v>1049</v>
      </c>
      <c r="B152" s="1" t="s">
        <v>13</v>
      </c>
      <c r="C152" s="1" t="s">
        <v>10</v>
      </c>
      <c r="D152" s="1" t="s">
        <v>15</v>
      </c>
      <c r="E152" s="2">
        <v>46020</v>
      </c>
      <c r="F152" s="1">
        <v>38</v>
      </c>
      <c r="G152" s="1">
        <v>7333</v>
      </c>
      <c r="H152" s="1" t="s">
        <v>28</v>
      </c>
      <c r="I152" s="1">
        <v>278654</v>
      </c>
      <c r="J152" t="str">
        <f t="shared" si="2"/>
        <v>December</v>
      </c>
    </row>
    <row r="153" spans="1:10" x14ac:dyDescent="0.25">
      <c r="A153" s="1">
        <v>1039</v>
      </c>
      <c r="B153" s="1" t="s">
        <v>22</v>
      </c>
      <c r="C153" s="1" t="s">
        <v>14</v>
      </c>
      <c r="D153" s="1" t="s">
        <v>18</v>
      </c>
      <c r="E153" s="2">
        <v>45563</v>
      </c>
      <c r="F153" s="1">
        <v>46</v>
      </c>
      <c r="G153" s="1">
        <v>12588</v>
      </c>
      <c r="H153" s="1" t="s">
        <v>30</v>
      </c>
      <c r="I153" s="1">
        <v>579048</v>
      </c>
      <c r="J153" t="str">
        <f t="shared" si="2"/>
        <v>September</v>
      </c>
    </row>
    <row r="154" spans="1:10" x14ac:dyDescent="0.25">
      <c r="A154" s="1">
        <v>1035</v>
      </c>
      <c r="B154" s="1" t="s">
        <v>9</v>
      </c>
      <c r="C154" s="1" t="s">
        <v>14</v>
      </c>
      <c r="D154" s="1" t="s">
        <v>18</v>
      </c>
      <c r="E154" s="2">
        <v>45249</v>
      </c>
      <c r="F154" s="1">
        <v>20</v>
      </c>
      <c r="G154" s="1">
        <v>11708</v>
      </c>
      <c r="H154" s="1" t="s">
        <v>28</v>
      </c>
      <c r="I154" s="1">
        <v>234160</v>
      </c>
      <c r="J154" t="str">
        <f t="shared" si="2"/>
        <v>November</v>
      </c>
    </row>
    <row r="155" spans="1:10" x14ac:dyDescent="0.25">
      <c r="A155" s="1">
        <v>1029</v>
      </c>
      <c r="B155" s="1" t="s">
        <v>13</v>
      </c>
      <c r="C155" s="1" t="s">
        <v>14</v>
      </c>
      <c r="D155" s="1" t="s">
        <v>18</v>
      </c>
      <c r="E155" s="2">
        <v>45961</v>
      </c>
      <c r="F155" s="1">
        <v>13</v>
      </c>
      <c r="G155" s="1">
        <v>43464</v>
      </c>
      <c r="H155" s="1" t="s">
        <v>29</v>
      </c>
      <c r="I155" s="1">
        <v>565032</v>
      </c>
      <c r="J155" t="str">
        <f t="shared" si="2"/>
        <v>October</v>
      </c>
    </row>
    <row r="156" spans="1:10" x14ac:dyDescent="0.25">
      <c r="A156" s="1">
        <v>1046</v>
      </c>
      <c r="B156" s="1" t="s">
        <v>24</v>
      </c>
      <c r="C156" s="1" t="s">
        <v>14</v>
      </c>
      <c r="D156" s="1" t="s">
        <v>11</v>
      </c>
      <c r="E156" s="2">
        <v>45718</v>
      </c>
      <c r="F156" s="1">
        <v>2</v>
      </c>
      <c r="G156" s="1">
        <v>8303</v>
      </c>
      <c r="H156" s="1" t="s">
        <v>29</v>
      </c>
      <c r="I156" s="1">
        <v>16606</v>
      </c>
      <c r="J156" t="str">
        <f t="shared" si="2"/>
        <v>March</v>
      </c>
    </row>
    <row r="157" spans="1:10" x14ac:dyDescent="0.25">
      <c r="A157" s="1">
        <v>1030</v>
      </c>
      <c r="B157" s="1" t="s">
        <v>17</v>
      </c>
      <c r="C157" s="1" t="s">
        <v>10</v>
      </c>
      <c r="D157" s="1" t="s">
        <v>18</v>
      </c>
      <c r="E157" s="2">
        <v>45658</v>
      </c>
      <c r="F157" s="1">
        <v>12</v>
      </c>
      <c r="G157" s="1">
        <v>10284</v>
      </c>
      <c r="H157" s="1" t="s">
        <v>23</v>
      </c>
      <c r="I157" s="1">
        <v>123408</v>
      </c>
      <c r="J157" t="str">
        <f t="shared" si="2"/>
        <v>January</v>
      </c>
    </row>
    <row r="158" spans="1:10" x14ac:dyDescent="0.25">
      <c r="A158" s="1">
        <v>1048</v>
      </c>
      <c r="B158" s="1" t="s">
        <v>17</v>
      </c>
      <c r="C158" s="1" t="s">
        <v>10</v>
      </c>
      <c r="D158" s="1" t="s">
        <v>18</v>
      </c>
      <c r="E158" s="2">
        <v>45217</v>
      </c>
      <c r="F158" s="1">
        <v>7</v>
      </c>
      <c r="G158" s="1">
        <v>39148</v>
      </c>
      <c r="H158" s="1" t="s">
        <v>23</v>
      </c>
      <c r="I158" s="1">
        <v>274036</v>
      </c>
      <c r="J158" t="str">
        <f t="shared" si="2"/>
        <v>October</v>
      </c>
    </row>
    <row r="159" spans="1:10" x14ac:dyDescent="0.25">
      <c r="A159" s="1">
        <v>1003</v>
      </c>
      <c r="B159" s="1" t="s">
        <v>24</v>
      </c>
      <c r="C159" s="1" t="s">
        <v>14</v>
      </c>
      <c r="D159" s="1" t="s">
        <v>11</v>
      </c>
      <c r="E159" s="2">
        <v>45782</v>
      </c>
      <c r="F159" s="1">
        <v>2</v>
      </c>
      <c r="G159" s="1">
        <v>48542</v>
      </c>
      <c r="H159" s="1" t="s">
        <v>23</v>
      </c>
      <c r="I159" s="1">
        <v>97084</v>
      </c>
      <c r="J159" t="str">
        <f t="shared" si="2"/>
        <v>May</v>
      </c>
    </row>
    <row r="160" spans="1:10" x14ac:dyDescent="0.25">
      <c r="A160" s="1">
        <v>1032</v>
      </c>
      <c r="B160" s="1" t="s">
        <v>25</v>
      </c>
      <c r="C160" s="1" t="s">
        <v>14</v>
      </c>
      <c r="D160" s="1" t="s">
        <v>18</v>
      </c>
      <c r="E160" s="2">
        <v>45592</v>
      </c>
      <c r="F160" s="1">
        <v>21</v>
      </c>
      <c r="G160" s="1">
        <v>43463</v>
      </c>
      <c r="H160" s="1" t="s">
        <v>26</v>
      </c>
      <c r="I160" s="1">
        <v>912723</v>
      </c>
      <c r="J160" t="str">
        <f t="shared" si="2"/>
        <v>October</v>
      </c>
    </row>
    <row r="161" spans="1:10" x14ac:dyDescent="0.25">
      <c r="A161" s="1">
        <v>1014</v>
      </c>
      <c r="B161" s="1" t="s">
        <v>25</v>
      </c>
      <c r="C161" s="1" t="s">
        <v>10</v>
      </c>
      <c r="D161" s="1" t="s">
        <v>18</v>
      </c>
      <c r="E161" s="2">
        <v>45328</v>
      </c>
      <c r="F161" s="1">
        <v>36</v>
      </c>
      <c r="G161" s="1">
        <v>25184</v>
      </c>
      <c r="H161" s="1" t="s">
        <v>23</v>
      </c>
      <c r="I161" s="1">
        <v>906624</v>
      </c>
      <c r="J161" t="str">
        <f t="shared" si="2"/>
        <v>February</v>
      </c>
    </row>
    <row r="162" spans="1:10" x14ac:dyDescent="0.25">
      <c r="A162" s="1">
        <v>1026</v>
      </c>
      <c r="B162" s="1" t="s">
        <v>32</v>
      </c>
      <c r="C162" s="1" t="s">
        <v>14</v>
      </c>
      <c r="D162" s="1" t="s">
        <v>11</v>
      </c>
      <c r="E162" s="2">
        <v>45121</v>
      </c>
      <c r="F162" s="1">
        <v>38</v>
      </c>
      <c r="G162" s="1">
        <v>40527</v>
      </c>
      <c r="H162" s="1" t="s">
        <v>26</v>
      </c>
      <c r="I162" s="1">
        <v>1540026</v>
      </c>
      <c r="J162" t="str">
        <f t="shared" si="2"/>
        <v>July</v>
      </c>
    </row>
    <row r="163" spans="1:10" x14ac:dyDescent="0.25">
      <c r="A163" s="1">
        <v>1005</v>
      </c>
      <c r="B163" s="1" t="s">
        <v>20</v>
      </c>
      <c r="C163" s="1" t="s">
        <v>14</v>
      </c>
      <c r="D163" s="1" t="s">
        <v>21</v>
      </c>
      <c r="E163" s="2">
        <v>45961</v>
      </c>
      <c r="F163" s="1">
        <v>43</v>
      </c>
      <c r="G163" s="1">
        <v>11673</v>
      </c>
      <c r="H163" s="1" t="s">
        <v>30</v>
      </c>
      <c r="I163" s="1">
        <v>501939</v>
      </c>
      <c r="J163" t="str">
        <f t="shared" si="2"/>
        <v>October</v>
      </c>
    </row>
    <row r="164" spans="1:10" x14ac:dyDescent="0.25">
      <c r="A164" s="1">
        <v>1028</v>
      </c>
      <c r="B164" s="1" t="s">
        <v>27</v>
      </c>
      <c r="C164" s="1" t="s">
        <v>10</v>
      </c>
      <c r="D164" s="1" t="s">
        <v>15</v>
      </c>
      <c r="E164" s="2">
        <v>45684</v>
      </c>
      <c r="F164" s="1">
        <v>9</v>
      </c>
      <c r="G164" s="1">
        <v>30912</v>
      </c>
      <c r="H164" s="1" t="s">
        <v>26</v>
      </c>
      <c r="I164" s="1">
        <v>278208</v>
      </c>
      <c r="J164" t="str">
        <f t="shared" si="2"/>
        <v>January</v>
      </c>
    </row>
    <row r="165" spans="1:10" x14ac:dyDescent="0.25">
      <c r="A165" s="1">
        <v>1008</v>
      </c>
      <c r="B165" s="1" t="s">
        <v>22</v>
      </c>
      <c r="C165" s="1" t="s">
        <v>10</v>
      </c>
      <c r="D165" s="1" t="s">
        <v>18</v>
      </c>
      <c r="E165" s="2">
        <v>45919</v>
      </c>
      <c r="F165" s="1">
        <v>48</v>
      </c>
      <c r="G165" s="1">
        <v>41433</v>
      </c>
      <c r="H165" s="1" t="s">
        <v>19</v>
      </c>
      <c r="I165" s="1">
        <v>1988784</v>
      </c>
      <c r="J165" t="str">
        <f t="shared" si="2"/>
        <v>September</v>
      </c>
    </row>
    <row r="166" spans="1:10" x14ac:dyDescent="0.25">
      <c r="A166" s="1">
        <v>1045</v>
      </c>
      <c r="B166" s="1" t="s">
        <v>25</v>
      </c>
      <c r="C166" s="1" t="s">
        <v>10</v>
      </c>
      <c r="D166" s="1" t="s">
        <v>18</v>
      </c>
      <c r="E166" s="2">
        <v>45282</v>
      </c>
      <c r="F166" s="1">
        <v>27</v>
      </c>
      <c r="G166" s="1">
        <v>2995</v>
      </c>
      <c r="H166" s="1" t="s">
        <v>30</v>
      </c>
      <c r="I166" s="1">
        <v>80865</v>
      </c>
      <c r="J166" t="str">
        <f t="shared" si="2"/>
        <v>December</v>
      </c>
    </row>
    <row r="167" spans="1:10" x14ac:dyDescent="0.25">
      <c r="A167" s="1">
        <v>1048</v>
      </c>
      <c r="B167" s="1" t="s">
        <v>24</v>
      </c>
      <c r="C167" s="1" t="s">
        <v>10</v>
      </c>
      <c r="D167" s="1" t="s">
        <v>11</v>
      </c>
      <c r="E167" s="2">
        <v>45446</v>
      </c>
      <c r="F167" s="1">
        <v>11</v>
      </c>
      <c r="G167" s="1">
        <v>6204</v>
      </c>
      <c r="H167" s="1" t="s">
        <v>12</v>
      </c>
      <c r="I167" s="1">
        <v>68244</v>
      </c>
      <c r="J167" t="str">
        <f t="shared" si="2"/>
        <v>June</v>
      </c>
    </row>
    <row r="168" spans="1:10" x14ac:dyDescent="0.25">
      <c r="A168" s="1">
        <v>1033</v>
      </c>
      <c r="B168" s="1" t="s">
        <v>24</v>
      </c>
      <c r="C168" s="1" t="s">
        <v>14</v>
      </c>
      <c r="D168" s="1" t="s">
        <v>21</v>
      </c>
      <c r="E168" s="2">
        <v>45381</v>
      </c>
      <c r="F168" s="1">
        <v>25</v>
      </c>
      <c r="G168" s="1">
        <v>7983</v>
      </c>
      <c r="H168" s="1" t="s">
        <v>30</v>
      </c>
      <c r="I168" s="1">
        <v>199575</v>
      </c>
      <c r="J168" t="str">
        <f t="shared" si="2"/>
        <v>March</v>
      </c>
    </row>
    <row r="169" spans="1:10" x14ac:dyDescent="0.25">
      <c r="A169" s="1">
        <v>1036</v>
      </c>
      <c r="B169" s="1" t="s">
        <v>20</v>
      </c>
      <c r="C169" s="1" t="s">
        <v>14</v>
      </c>
      <c r="D169" s="1" t="s">
        <v>11</v>
      </c>
      <c r="E169" s="2">
        <v>45905</v>
      </c>
      <c r="F169" s="1">
        <v>27</v>
      </c>
      <c r="G169" s="1">
        <v>8336</v>
      </c>
      <c r="H169" s="1" t="s">
        <v>30</v>
      </c>
      <c r="I169" s="1">
        <v>225072</v>
      </c>
      <c r="J169" t="str">
        <f t="shared" si="2"/>
        <v>September</v>
      </c>
    </row>
    <row r="170" spans="1:10" x14ac:dyDescent="0.25">
      <c r="A170" s="1">
        <v>1013</v>
      </c>
      <c r="B170" s="1" t="s">
        <v>17</v>
      </c>
      <c r="C170" s="1" t="s">
        <v>10</v>
      </c>
      <c r="D170" s="1" t="s">
        <v>21</v>
      </c>
      <c r="E170" s="2">
        <v>45147</v>
      </c>
      <c r="F170" s="1">
        <v>27</v>
      </c>
      <c r="G170" s="1">
        <v>18575</v>
      </c>
      <c r="H170" s="1" t="s">
        <v>30</v>
      </c>
      <c r="I170" s="1">
        <v>501525</v>
      </c>
      <c r="J170" t="str">
        <f t="shared" si="2"/>
        <v>August</v>
      </c>
    </row>
    <row r="171" spans="1:10" x14ac:dyDescent="0.25">
      <c r="A171" s="1">
        <v>1020</v>
      </c>
      <c r="B171" s="1" t="s">
        <v>20</v>
      </c>
      <c r="C171" s="1" t="s">
        <v>10</v>
      </c>
      <c r="D171" s="1" t="s">
        <v>11</v>
      </c>
      <c r="E171" s="2">
        <v>45349</v>
      </c>
      <c r="F171" s="1">
        <v>5</v>
      </c>
      <c r="G171" s="1">
        <v>13602</v>
      </c>
      <c r="H171" s="1" t="s">
        <v>30</v>
      </c>
      <c r="I171" s="1">
        <v>68010</v>
      </c>
      <c r="J171" t="str">
        <f t="shared" si="2"/>
        <v>February</v>
      </c>
    </row>
    <row r="172" spans="1:10" x14ac:dyDescent="0.25">
      <c r="A172" s="1">
        <v>1018</v>
      </c>
      <c r="B172" s="1" t="s">
        <v>31</v>
      </c>
      <c r="C172" s="1" t="s">
        <v>10</v>
      </c>
      <c r="D172" s="1" t="s">
        <v>11</v>
      </c>
      <c r="E172" s="2">
        <v>45828</v>
      </c>
      <c r="F172" s="1">
        <v>17</v>
      </c>
      <c r="G172" s="1">
        <v>39114</v>
      </c>
      <c r="H172" s="1" t="s">
        <v>29</v>
      </c>
      <c r="I172" s="1">
        <v>664938</v>
      </c>
      <c r="J172" t="str">
        <f t="shared" si="2"/>
        <v>June</v>
      </c>
    </row>
    <row r="173" spans="1:10" x14ac:dyDescent="0.25">
      <c r="A173" s="1">
        <v>1020</v>
      </c>
      <c r="B173" s="1" t="s">
        <v>22</v>
      </c>
      <c r="C173" s="1" t="s">
        <v>14</v>
      </c>
      <c r="D173" s="1" t="s">
        <v>21</v>
      </c>
      <c r="E173" s="2">
        <v>45064</v>
      </c>
      <c r="F173" s="1">
        <v>24</v>
      </c>
      <c r="G173" s="1">
        <v>10568</v>
      </c>
      <c r="H173" s="1" t="s">
        <v>30</v>
      </c>
      <c r="I173" s="1">
        <v>253632</v>
      </c>
      <c r="J173" t="str">
        <f t="shared" si="2"/>
        <v>May</v>
      </c>
    </row>
    <row r="174" spans="1:10" x14ac:dyDescent="0.25">
      <c r="A174" s="1">
        <v>1043</v>
      </c>
      <c r="B174" s="1" t="s">
        <v>25</v>
      </c>
      <c r="C174" s="1" t="s">
        <v>10</v>
      </c>
      <c r="D174" s="1" t="s">
        <v>21</v>
      </c>
      <c r="E174" s="2">
        <v>45095</v>
      </c>
      <c r="F174" s="1">
        <v>2</v>
      </c>
      <c r="G174" s="1">
        <v>3348</v>
      </c>
      <c r="H174" s="1" t="s">
        <v>12</v>
      </c>
      <c r="I174" s="1">
        <v>6696</v>
      </c>
      <c r="J174" t="str">
        <f t="shared" si="2"/>
        <v>June</v>
      </c>
    </row>
    <row r="175" spans="1:10" x14ac:dyDescent="0.25">
      <c r="A175" s="1">
        <v>1033</v>
      </c>
      <c r="B175" s="1" t="s">
        <v>25</v>
      </c>
      <c r="C175" s="1" t="s">
        <v>14</v>
      </c>
      <c r="D175" s="1" t="s">
        <v>15</v>
      </c>
      <c r="E175" s="2">
        <v>45142</v>
      </c>
      <c r="F175" s="1">
        <v>39</v>
      </c>
      <c r="G175" s="1">
        <v>10827</v>
      </c>
      <c r="H175" s="1" t="s">
        <v>29</v>
      </c>
      <c r="I175" s="1">
        <v>422253</v>
      </c>
      <c r="J175" t="str">
        <f t="shared" si="2"/>
        <v>August</v>
      </c>
    </row>
    <row r="176" spans="1:10" x14ac:dyDescent="0.25">
      <c r="A176" s="1">
        <v>1021</v>
      </c>
      <c r="B176" s="1" t="s">
        <v>13</v>
      </c>
      <c r="C176" s="1" t="s">
        <v>14</v>
      </c>
      <c r="D176" s="1" t="s">
        <v>11</v>
      </c>
      <c r="E176" s="2">
        <v>45671</v>
      </c>
      <c r="F176" s="1">
        <v>27</v>
      </c>
      <c r="G176" s="1">
        <v>7032</v>
      </c>
      <c r="H176" s="1" t="s">
        <v>16</v>
      </c>
      <c r="I176" s="1">
        <v>189864</v>
      </c>
      <c r="J176" t="str">
        <f t="shared" si="2"/>
        <v>January</v>
      </c>
    </row>
    <row r="177" spans="1:10" x14ac:dyDescent="0.25">
      <c r="A177" s="1">
        <v>1046</v>
      </c>
      <c r="B177" s="1" t="s">
        <v>32</v>
      </c>
      <c r="C177" s="1" t="s">
        <v>10</v>
      </c>
      <c r="D177" s="1" t="s">
        <v>18</v>
      </c>
      <c r="E177" s="2">
        <v>45528</v>
      </c>
      <c r="F177" s="1">
        <v>19</v>
      </c>
      <c r="G177" s="1">
        <v>36183</v>
      </c>
      <c r="H177" s="1" t="s">
        <v>29</v>
      </c>
      <c r="I177" s="1">
        <v>687477</v>
      </c>
      <c r="J177" t="str">
        <f t="shared" si="2"/>
        <v>August</v>
      </c>
    </row>
    <row r="178" spans="1:10" x14ac:dyDescent="0.25">
      <c r="A178" s="1">
        <v>1024</v>
      </c>
      <c r="B178" s="1" t="s">
        <v>17</v>
      </c>
      <c r="C178" s="1" t="s">
        <v>14</v>
      </c>
      <c r="D178" s="1" t="s">
        <v>18</v>
      </c>
      <c r="E178" s="2">
        <v>45745</v>
      </c>
      <c r="F178" s="1">
        <v>47</v>
      </c>
      <c r="G178" s="1">
        <v>7601</v>
      </c>
      <c r="H178" s="1" t="s">
        <v>29</v>
      </c>
      <c r="I178" s="1">
        <v>357247</v>
      </c>
      <c r="J178" t="str">
        <f t="shared" si="2"/>
        <v>March</v>
      </c>
    </row>
    <row r="179" spans="1:10" x14ac:dyDescent="0.25">
      <c r="A179" s="1">
        <v>1028</v>
      </c>
      <c r="B179" s="1" t="s">
        <v>13</v>
      </c>
      <c r="C179" s="1" t="s">
        <v>14</v>
      </c>
      <c r="D179" s="1" t="s">
        <v>21</v>
      </c>
      <c r="E179" s="2">
        <v>45995</v>
      </c>
      <c r="F179" s="1">
        <v>21</v>
      </c>
      <c r="G179" s="1">
        <v>19783</v>
      </c>
      <c r="H179" s="1" t="s">
        <v>12</v>
      </c>
      <c r="I179" s="1">
        <v>415443</v>
      </c>
      <c r="J179" t="str">
        <f t="shared" si="2"/>
        <v>December</v>
      </c>
    </row>
    <row r="180" spans="1:10" x14ac:dyDescent="0.25">
      <c r="A180" s="1">
        <v>1005</v>
      </c>
      <c r="B180" s="1" t="s">
        <v>17</v>
      </c>
      <c r="C180" s="1" t="s">
        <v>14</v>
      </c>
      <c r="D180" s="1" t="s">
        <v>15</v>
      </c>
      <c r="E180" s="2">
        <v>45531</v>
      </c>
      <c r="F180" s="1">
        <v>7</v>
      </c>
      <c r="G180" s="1">
        <v>47061</v>
      </c>
      <c r="H180" s="1" t="s">
        <v>29</v>
      </c>
      <c r="I180" s="1">
        <v>329427</v>
      </c>
      <c r="J180" t="str">
        <f t="shared" si="2"/>
        <v>August</v>
      </c>
    </row>
    <row r="181" spans="1:10" x14ac:dyDescent="0.25">
      <c r="A181" s="1">
        <v>1030</v>
      </c>
      <c r="B181" s="1" t="s">
        <v>9</v>
      </c>
      <c r="C181" s="1" t="s">
        <v>10</v>
      </c>
      <c r="D181" s="1" t="s">
        <v>11</v>
      </c>
      <c r="E181" s="2">
        <v>45266</v>
      </c>
      <c r="F181" s="1">
        <v>14</v>
      </c>
      <c r="G181" s="1">
        <v>23236</v>
      </c>
      <c r="H181" s="1" t="s">
        <v>30</v>
      </c>
      <c r="I181" s="1">
        <v>325304</v>
      </c>
      <c r="J181" t="str">
        <f t="shared" si="2"/>
        <v>December</v>
      </c>
    </row>
    <row r="182" spans="1:10" x14ac:dyDescent="0.25">
      <c r="A182" s="1">
        <v>1043</v>
      </c>
      <c r="B182" s="1" t="s">
        <v>24</v>
      </c>
      <c r="C182" s="1" t="s">
        <v>14</v>
      </c>
      <c r="D182" s="1" t="s">
        <v>15</v>
      </c>
      <c r="E182" s="2">
        <v>45264</v>
      </c>
      <c r="F182" s="1">
        <v>13</v>
      </c>
      <c r="G182" s="1">
        <v>39230</v>
      </c>
      <c r="H182" s="1" t="s">
        <v>19</v>
      </c>
      <c r="I182" s="1">
        <v>509990</v>
      </c>
      <c r="J182" t="str">
        <f t="shared" si="2"/>
        <v>December</v>
      </c>
    </row>
    <row r="183" spans="1:10" x14ac:dyDescent="0.25">
      <c r="A183" s="1">
        <v>1024</v>
      </c>
      <c r="B183" s="1" t="s">
        <v>9</v>
      </c>
      <c r="C183" s="1" t="s">
        <v>14</v>
      </c>
      <c r="D183" s="1" t="s">
        <v>21</v>
      </c>
      <c r="E183" s="2">
        <v>45926</v>
      </c>
      <c r="F183" s="1">
        <v>6</v>
      </c>
      <c r="G183" s="1">
        <v>38569</v>
      </c>
      <c r="H183" s="1" t="s">
        <v>12</v>
      </c>
      <c r="I183" s="1">
        <v>231414</v>
      </c>
      <c r="J183" t="str">
        <f t="shared" si="2"/>
        <v>September</v>
      </c>
    </row>
    <row r="184" spans="1:10" x14ac:dyDescent="0.25">
      <c r="A184" s="1">
        <v>1039</v>
      </c>
      <c r="B184" s="1" t="s">
        <v>13</v>
      </c>
      <c r="C184" s="1" t="s">
        <v>10</v>
      </c>
      <c r="D184" s="1" t="s">
        <v>21</v>
      </c>
      <c r="E184" s="2">
        <v>45310</v>
      </c>
      <c r="F184" s="1">
        <v>30</v>
      </c>
      <c r="G184" s="1">
        <v>4642</v>
      </c>
      <c r="H184" s="1" t="s">
        <v>16</v>
      </c>
      <c r="I184" s="1">
        <v>139260</v>
      </c>
      <c r="J184" t="str">
        <f t="shared" si="2"/>
        <v>January</v>
      </c>
    </row>
    <row r="185" spans="1:10" x14ac:dyDescent="0.25">
      <c r="A185" s="1">
        <v>1014</v>
      </c>
      <c r="B185" s="1" t="s">
        <v>25</v>
      </c>
      <c r="C185" s="1" t="s">
        <v>10</v>
      </c>
      <c r="D185" s="1" t="s">
        <v>21</v>
      </c>
      <c r="E185" s="2">
        <v>45500</v>
      </c>
      <c r="F185" s="1">
        <v>38</v>
      </c>
      <c r="G185" s="1">
        <v>48243</v>
      </c>
      <c r="H185" s="1" t="s">
        <v>30</v>
      </c>
      <c r="I185" s="1">
        <v>1833234</v>
      </c>
      <c r="J185" t="str">
        <f t="shared" si="2"/>
        <v>July</v>
      </c>
    </row>
    <row r="186" spans="1:10" x14ac:dyDescent="0.25">
      <c r="A186" s="1">
        <v>1036</v>
      </c>
      <c r="B186" s="1" t="s">
        <v>20</v>
      </c>
      <c r="C186" s="1" t="s">
        <v>10</v>
      </c>
      <c r="D186" s="1" t="s">
        <v>15</v>
      </c>
      <c r="E186" s="2">
        <v>45940</v>
      </c>
      <c r="F186" s="1">
        <v>15</v>
      </c>
      <c r="G186" s="1">
        <v>49824</v>
      </c>
      <c r="H186" s="1" t="s">
        <v>23</v>
      </c>
      <c r="I186" s="1">
        <v>747360</v>
      </c>
      <c r="J186" t="str">
        <f t="shared" si="2"/>
        <v>October</v>
      </c>
    </row>
    <row r="187" spans="1:10" x14ac:dyDescent="0.25">
      <c r="A187" s="1">
        <v>1036</v>
      </c>
      <c r="B187" s="1" t="s">
        <v>31</v>
      </c>
      <c r="C187" s="1" t="s">
        <v>14</v>
      </c>
      <c r="D187" s="1" t="s">
        <v>18</v>
      </c>
      <c r="E187" s="2">
        <v>45174</v>
      </c>
      <c r="F187" s="1">
        <v>24</v>
      </c>
      <c r="G187" s="1">
        <v>18081</v>
      </c>
      <c r="H187" s="1" t="s">
        <v>16</v>
      </c>
      <c r="I187" s="1">
        <v>433944</v>
      </c>
      <c r="J187" t="str">
        <f t="shared" si="2"/>
        <v>September</v>
      </c>
    </row>
    <row r="188" spans="1:10" x14ac:dyDescent="0.25">
      <c r="A188" s="1">
        <v>1026</v>
      </c>
      <c r="B188" s="1" t="s">
        <v>22</v>
      </c>
      <c r="C188" s="1" t="s">
        <v>10</v>
      </c>
      <c r="D188" s="1" t="s">
        <v>18</v>
      </c>
      <c r="E188" s="2">
        <v>45965</v>
      </c>
      <c r="F188" s="1">
        <v>11</v>
      </c>
      <c r="G188" s="1">
        <v>29029</v>
      </c>
      <c r="H188" s="1" t="s">
        <v>29</v>
      </c>
      <c r="I188" s="1">
        <v>319319</v>
      </c>
      <c r="J188" t="str">
        <f t="shared" si="2"/>
        <v>November</v>
      </c>
    </row>
    <row r="189" spans="1:10" x14ac:dyDescent="0.25">
      <c r="A189" s="1">
        <v>1013</v>
      </c>
      <c r="B189" s="1" t="s">
        <v>24</v>
      </c>
      <c r="C189" s="1" t="s">
        <v>14</v>
      </c>
      <c r="D189" s="1" t="s">
        <v>18</v>
      </c>
      <c r="E189" s="2">
        <v>45757</v>
      </c>
      <c r="F189" s="1">
        <v>27</v>
      </c>
      <c r="G189" s="1">
        <v>11890</v>
      </c>
      <c r="H189" s="1" t="s">
        <v>28</v>
      </c>
      <c r="I189" s="1">
        <v>321030</v>
      </c>
      <c r="J189" t="str">
        <f t="shared" si="2"/>
        <v>April</v>
      </c>
    </row>
    <row r="190" spans="1:10" x14ac:dyDescent="0.25">
      <c r="A190" s="1">
        <v>1040</v>
      </c>
      <c r="B190" s="1" t="s">
        <v>13</v>
      </c>
      <c r="C190" s="1" t="s">
        <v>14</v>
      </c>
      <c r="D190" s="1" t="s">
        <v>15</v>
      </c>
      <c r="E190" s="2">
        <v>45851</v>
      </c>
      <c r="F190" s="1">
        <v>32</v>
      </c>
      <c r="G190" s="1">
        <v>16647</v>
      </c>
      <c r="H190" s="1" t="s">
        <v>26</v>
      </c>
      <c r="I190" s="1">
        <v>532704</v>
      </c>
      <c r="J190" t="str">
        <f t="shared" si="2"/>
        <v>July</v>
      </c>
    </row>
    <row r="191" spans="1:10" x14ac:dyDescent="0.25">
      <c r="A191" s="1">
        <v>1021</v>
      </c>
      <c r="B191" s="1" t="s">
        <v>25</v>
      </c>
      <c r="C191" s="1" t="s">
        <v>14</v>
      </c>
      <c r="D191" s="1" t="s">
        <v>11</v>
      </c>
      <c r="E191" s="2">
        <v>45556</v>
      </c>
      <c r="F191" s="1">
        <v>33</v>
      </c>
      <c r="G191" s="1">
        <v>17191</v>
      </c>
      <c r="H191" s="1" t="s">
        <v>19</v>
      </c>
      <c r="I191" s="1">
        <v>567303</v>
      </c>
      <c r="J191" t="str">
        <f t="shared" si="2"/>
        <v>September</v>
      </c>
    </row>
    <row r="192" spans="1:10" x14ac:dyDescent="0.25">
      <c r="A192" s="1">
        <v>1026</v>
      </c>
      <c r="B192" s="1" t="s">
        <v>25</v>
      </c>
      <c r="C192" s="1" t="s">
        <v>14</v>
      </c>
      <c r="D192" s="1" t="s">
        <v>15</v>
      </c>
      <c r="E192" s="2">
        <v>45519</v>
      </c>
      <c r="F192" s="1">
        <v>32</v>
      </c>
      <c r="G192" s="1">
        <v>38880</v>
      </c>
      <c r="H192" s="1" t="s">
        <v>28</v>
      </c>
      <c r="I192" s="1">
        <v>1244160</v>
      </c>
      <c r="J192" t="str">
        <f t="shared" si="2"/>
        <v>August</v>
      </c>
    </row>
    <row r="193" spans="1:10" x14ac:dyDescent="0.25">
      <c r="A193" s="1">
        <v>1034</v>
      </c>
      <c r="B193" s="1" t="s">
        <v>9</v>
      </c>
      <c r="C193" s="1" t="s">
        <v>10</v>
      </c>
      <c r="D193" s="1" t="s">
        <v>18</v>
      </c>
      <c r="E193" s="2">
        <v>45679</v>
      </c>
      <c r="F193" s="1">
        <v>12</v>
      </c>
      <c r="G193" s="1">
        <v>39743</v>
      </c>
      <c r="H193" s="1" t="s">
        <v>23</v>
      </c>
      <c r="I193" s="1">
        <v>476916</v>
      </c>
      <c r="J193" t="str">
        <f t="shared" si="2"/>
        <v>January</v>
      </c>
    </row>
    <row r="194" spans="1:10" x14ac:dyDescent="0.25">
      <c r="A194" s="1">
        <v>1040</v>
      </c>
      <c r="B194" s="1" t="s">
        <v>13</v>
      </c>
      <c r="C194" s="1" t="s">
        <v>14</v>
      </c>
      <c r="D194" s="1" t="s">
        <v>21</v>
      </c>
      <c r="E194" s="2">
        <v>45165</v>
      </c>
      <c r="F194" s="1">
        <v>39</v>
      </c>
      <c r="G194" s="1">
        <v>30391</v>
      </c>
      <c r="H194" s="1" t="s">
        <v>26</v>
      </c>
      <c r="I194" s="1">
        <v>1185249</v>
      </c>
      <c r="J194" t="str">
        <f t="shared" si="2"/>
        <v>August</v>
      </c>
    </row>
    <row r="195" spans="1:10" x14ac:dyDescent="0.25">
      <c r="A195" s="1">
        <v>1014</v>
      </c>
      <c r="B195" s="1" t="s">
        <v>22</v>
      </c>
      <c r="C195" s="1" t="s">
        <v>10</v>
      </c>
      <c r="D195" s="1" t="s">
        <v>21</v>
      </c>
      <c r="E195" s="2">
        <v>45070</v>
      </c>
      <c r="F195" s="1">
        <v>21</v>
      </c>
      <c r="G195" s="1">
        <v>48703</v>
      </c>
      <c r="H195" s="1" t="s">
        <v>23</v>
      </c>
      <c r="I195" s="1">
        <v>1022763</v>
      </c>
      <c r="J195" t="str">
        <f t="shared" ref="J195:J258" si="3">TEXT(E195,"mmmm")</f>
        <v>May</v>
      </c>
    </row>
    <row r="196" spans="1:10" x14ac:dyDescent="0.25">
      <c r="A196" s="1">
        <v>1021</v>
      </c>
      <c r="B196" s="1" t="s">
        <v>31</v>
      </c>
      <c r="C196" s="1" t="s">
        <v>14</v>
      </c>
      <c r="D196" s="1" t="s">
        <v>18</v>
      </c>
      <c r="E196" s="2">
        <v>45391</v>
      </c>
      <c r="F196" s="1">
        <v>25</v>
      </c>
      <c r="G196" s="1">
        <v>48592</v>
      </c>
      <c r="H196" s="1" t="s">
        <v>23</v>
      </c>
      <c r="I196" s="1">
        <v>1214800</v>
      </c>
      <c r="J196" t="str">
        <f t="shared" si="3"/>
        <v>April</v>
      </c>
    </row>
    <row r="197" spans="1:10" x14ac:dyDescent="0.25">
      <c r="A197" s="1">
        <v>1043</v>
      </c>
      <c r="B197" s="1" t="s">
        <v>13</v>
      </c>
      <c r="C197" s="1" t="s">
        <v>10</v>
      </c>
      <c r="D197" s="1" t="s">
        <v>11</v>
      </c>
      <c r="E197" s="2">
        <v>45566</v>
      </c>
      <c r="F197" s="1">
        <v>23</v>
      </c>
      <c r="G197" s="1">
        <v>38239</v>
      </c>
      <c r="H197" s="1" t="s">
        <v>23</v>
      </c>
      <c r="I197" s="1">
        <v>879497</v>
      </c>
      <c r="J197" t="str">
        <f t="shared" si="3"/>
        <v>October</v>
      </c>
    </row>
    <row r="198" spans="1:10" x14ac:dyDescent="0.25">
      <c r="A198" s="1">
        <v>1049</v>
      </c>
      <c r="B198" s="1" t="s">
        <v>32</v>
      </c>
      <c r="C198" s="1" t="s">
        <v>14</v>
      </c>
      <c r="D198" s="1" t="s">
        <v>21</v>
      </c>
      <c r="E198" s="2">
        <v>45421</v>
      </c>
      <c r="F198" s="1">
        <v>30</v>
      </c>
      <c r="G198" s="1">
        <v>5031</v>
      </c>
      <c r="H198" s="1" t="s">
        <v>23</v>
      </c>
      <c r="I198" s="1">
        <v>150930</v>
      </c>
      <c r="J198" t="str">
        <f t="shared" si="3"/>
        <v>May</v>
      </c>
    </row>
    <row r="199" spans="1:10" x14ac:dyDescent="0.25">
      <c r="A199" s="1">
        <v>1047</v>
      </c>
      <c r="B199" s="1" t="s">
        <v>32</v>
      </c>
      <c r="C199" s="1" t="s">
        <v>10</v>
      </c>
      <c r="D199" s="1" t="s">
        <v>11</v>
      </c>
      <c r="E199" s="2">
        <v>45933</v>
      </c>
      <c r="F199" s="1">
        <v>18</v>
      </c>
      <c r="G199" s="1">
        <v>46595</v>
      </c>
      <c r="H199" s="1" t="s">
        <v>23</v>
      </c>
      <c r="I199" s="1">
        <v>838710</v>
      </c>
      <c r="J199" t="str">
        <f t="shared" si="3"/>
        <v>October</v>
      </c>
    </row>
    <row r="200" spans="1:10" x14ac:dyDescent="0.25">
      <c r="A200" s="1">
        <v>1019</v>
      </c>
      <c r="B200" s="1" t="s">
        <v>20</v>
      </c>
      <c r="C200" s="1" t="s">
        <v>14</v>
      </c>
      <c r="D200" s="1" t="s">
        <v>21</v>
      </c>
      <c r="E200" s="2">
        <v>45678</v>
      </c>
      <c r="F200" s="1">
        <v>26</v>
      </c>
      <c r="G200" s="1">
        <v>8867</v>
      </c>
      <c r="H200" s="1" t="s">
        <v>16</v>
      </c>
      <c r="I200" s="1">
        <v>230542</v>
      </c>
      <c r="J200" t="str">
        <f t="shared" si="3"/>
        <v>January</v>
      </c>
    </row>
    <row r="201" spans="1:10" x14ac:dyDescent="0.25">
      <c r="A201" s="1">
        <v>1012</v>
      </c>
      <c r="B201" s="1" t="s">
        <v>32</v>
      </c>
      <c r="C201" s="1" t="s">
        <v>14</v>
      </c>
      <c r="D201" s="1" t="s">
        <v>18</v>
      </c>
      <c r="E201" s="2">
        <v>45812</v>
      </c>
      <c r="F201" s="1">
        <v>20</v>
      </c>
      <c r="G201" s="1">
        <v>38538</v>
      </c>
      <c r="H201" s="1" t="s">
        <v>23</v>
      </c>
      <c r="I201" s="1">
        <v>770760</v>
      </c>
      <c r="J201" t="str">
        <f t="shared" si="3"/>
        <v>June</v>
      </c>
    </row>
    <row r="202" spans="1:10" x14ac:dyDescent="0.25">
      <c r="A202" s="1">
        <v>1036</v>
      </c>
      <c r="B202" s="1" t="s">
        <v>32</v>
      </c>
      <c r="C202" s="1" t="s">
        <v>10</v>
      </c>
      <c r="D202" s="1" t="s">
        <v>15</v>
      </c>
      <c r="E202" s="2">
        <v>45443</v>
      </c>
      <c r="F202" s="1">
        <v>41</v>
      </c>
      <c r="G202" s="1">
        <v>27893</v>
      </c>
      <c r="H202" s="1" t="s">
        <v>29</v>
      </c>
      <c r="I202" s="1">
        <v>1143613</v>
      </c>
      <c r="J202" t="str">
        <f t="shared" si="3"/>
        <v>May</v>
      </c>
    </row>
    <row r="203" spans="1:10" x14ac:dyDescent="0.25">
      <c r="A203" s="1">
        <v>1030</v>
      </c>
      <c r="B203" s="1" t="s">
        <v>17</v>
      </c>
      <c r="C203" s="1" t="s">
        <v>14</v>
      </c>
      <c r="D203" s="1" t="s">
        <v>15</v>
      </c>
      <c r="E203" s="2">
        <v>45076</v>
      </c>
      <c r="F203" s="1">
        <v>35</v>
      </c>
      <c r="G203" s="1">
        <v>23353</v>
      </c>
      <c r="H203" s="1" t="s">
        <v>19</v>
      </c>
      <c r="I203" s="1">
        <v>817355</v>
      </c>
      <c r="J203" t="str">
        <f t="shared" si="3"/>
        <v>May</v>
      </c>
    </row>
    <row r="204" spans="1:10" x14ac:dyDescent="0.25">
      <c r="A204" s="1">
        <v>1044</v>
      </c>
      <c r="B204" s="1" t="s">
        <v>13</v>
      </c>
      <c r="C204" s="1" t="s">
        <v>10</v>
      </c>
      <c r="D204" s="1" t="s">
        <v>11</v>
      </c>
      <c r="E204" s="2">
        <v>45471</v>
      </c>
      <c r="F204" s="1">
        <v>47</v>
      </c>
      <c r="G204" s="1">
        <v>5513</v>
      </c>
      <c r="H204" s="1" t="s">
        <v>26</v>
      </c>
      <c r="I204" s="1">
        <v>259111</v>
      </c>
      <c r="J204" t="str">
        <f t="shared" si="3"/>
        <v>June</v>
      </c>
    </row>
    <row r="205" spans="1:10" x14ac:dyDescent="0.25">
      <c r="A205" s="1">
        <v>1033</v>
      </c>
      <c r="B205" s="1" t="s">
        <v>24</v>
      </c>
      <c r="C205" s="1" t="s">
        <v>10</v>
      </c>
      <c r="D205" s="1" t="s">
        <v>18</v>
      </c>
      <c r="E205" s="2">
        <v>45033</v>
      </c>
      <c r="F205" s="1">
        <v>13</v>
      </c>
      <c r="G205" s="1">
        <v>16721</v>
      </c>
      <c r="H205" s="1" t="s">
        <v>16</v>
      </c>
      <c r="I205" s="1">
        <v>217373</v>
      </c>
      <c r="J205" t="str">
        <f t="shared" si="3"/>
        <v>April</v>
      </c>
    </row>
    <row r="206" spans="1:10" x14ac:dyDescent="0.25">
      <c r="A206" s="1">
        <v>1044</v>
      </c>
      <c r="B206" s="1" t="s">
        <v>32</v>
      </c>
      <c r="C206" s="1" t="s">
        <v>14</v>
      </c>
      <c r="D206" s="1" t="s">
        <v>21</v>
      </c>
      <c r="E206" s="2">
        <v>45286</v>
      </c>
      <c r="F206" s="1">
        <v>42</v>
      </c>
      <c r="G206" s="1">
        <v>24242</v>
      </c>
      <c r="H206" s="1" t="s">
        <v>16</v>
      </c>
      <c r="I206" s="1">
        <v>1018164</v>
      </c>
      <c r="J206" t="str">
        <f t="shared" si="3"/>
        <v>December</v>
      </c>
    </row>
    <row r="207" spans="1:10" x14ac:dyDescent="0.25">
      <c r="A207" s="1">
        <v>1023</v>
      </c>
      <c r="B207" s="1" t="s">
        <v>17</v>
      </c>
      <c r="C207" s="1" t="s">
        <v>10</v>
      </c>
      <c r="D207" s="1" t="s">
        <v>11</v>
      </c>
      <c r="E207" s="2">
        <v>45696</v>
      </c>
      <c r="F207" s="1">
        <v>3</v>
      </c>
      <c r="G207" s="1">
        <v>33770</v>
      </c>
      <c r="H207" s="1" t="s">
        <v>28</v>
      </c>
      <c r="I207" s="1">
        <v>101310</v>
      </c>
      <c r="J207" t="str">
        <f t="shared" si="3"/>
        <v>February</v>
      </c>
    </row>
    <row r="208" spans="1:10" x14ac:dyDescent="0.25">
      <c r="A208" s="1">
        <v>1041</v>
      </c>
      <c r="B208" s="1" t="s">
        <v>27</v>
      </c>
      <c r="C208" s="1" t="s">
        <v>14</v>
      </c>
      <c r="D208" s="1" t="s">
        <v>18</v>
      </c>
      <c r="E208" s="2">
        <v>45415</v>
      </c>
      <c r="F208" s="1">
        <v>33</v>
      </c>
      <c r="G208" s="1">
        <v>10853</v>
      </c>
      <c r="H208" s="1" t="s">
        <v>26</v>
      </c>
      <c r="I208" s="1">
        <v>358149</v>
      </c>
      <c r="J208" t="str">
        <f t="shared" si="3"/>
        <v>May</v>
      </c>
    </row>
    <row r="209" spans="1:10" x14ac:dyDescent="0.25">
      <c r="A209" s="1">
        <v>1013</v>
      </c>
      <c r="B209" s="1" t="s">
        <v>20</v>
      </c>
      <c r="C209" s="1" t="s">
        <v>10</v>
      </c>
      <c r="D209" s="1" t="s">
        <v>15</v>
      </c>
      <c r="E209" s="2">
        <v>45840</v>
      </c>
      <c r="F209" s="1">
        <v>42</v>
      </c>
      <c r="G209" s="1">
        <v>19855</v>
      </c>
      <c r="H209" s="1" t="s">
        <v>28</v>
      </c>
      <c r="I209" s="1">
        <v>833910</v>
      </c>
      <c r="J209" t="str">
        <f t="shared" si="3"/>
        <v>July</v>
      </c>
    </row>
    <row r="210" spans="1:10" x14ac:dyDescent="0.25">
      <c r="A210" s="1">
        <v>1028</v>
      </c>
      <c r="B210" s="1" t="s">
        <v>20</v>
      </c>
      <c r="C210" s="1" t="s">
        <v>10</v>
      </c>
      <c r="D210" s="1" t="s">
        <v>15</v>
      </c>
      <c r="E210" s="2">
        <v>45717</v>
      </c>
      <c r="F210" s="1">
        <v>42</v>
      </c>
      <c r="G210" s="1">
        <v>15370</v>
      </c>
      <c r="H210" s="1" t="s">
        <v>28</v>
      </c>
      <c r="I210" s="1">
        <v>645540</v>
      </c>
      <c r="J210" t="str">
        <f t="shared" si="3"/>
        <v>March</v>
      </c>
    </row>
    <row r="211" spans="1:10" x14ac:dyDescent="0.25">
      <c r="A211" s="1">
        <v>1028</v>
      </c>
      <c r="B211" s="1" t="s">
        <v>24</v>
      </c>
      <c r="C211" s="1" t="s">
        <v>14</v>
      </c>
      <c r="D211" s="1" t="s">
        <v>15</v>
      </c>
      <c r="E211" s="2">
        <v>44980</v>
      </c>
      <c r="F211" s="1">
        <v>44</v>
      </c>
      <c r="G211" s="1">
        <v>47093</v>
      </c>
      <c r="H211" s="1" t="s">
        <v>23</v>
      </c>
      <c r="I211" s="1">
        <v>2072092</v>
      </c>
      <c r="J211" t="str">
        <f t="shared" si="3"/>
        <v>February</v>
      </c>
    </row>
    <row r="212" spans="1:10" x14ac:dyDescent="0.25">
      <c r="A212" s="1">
        <v>1019</v>
      </c>
      <c r="B212" s="1" t="s">
        <v>27</v>
      </c>
      <c r="C212" s="1" t="s">
        <v>14</v>
      </c>
      <c r="D212" s="1" t="s">
        <v>11</v>
      </c>
      <c r="E212" s="2">
        <v>45257</v>
      </c>
      <c r="F212" s="1">
        <v>2</v>
      </c>
      <c r="G212" s="1">
        <v>41412</v>
      </c>
      <c r="H212" s="1" t="s">
        <v>23</v>
      </c>
      <c r="I212" s="1">
        <v>82824</v>
      </c>
      <c r="J212" t="str">
        <f t="shared" si="3"/>
        <v>November</v>
      </c>
    </row>
    <row r="213" spans="1:10" x14ac:dyDescent="0.25">
      <c r="A213" s="1">
        <v>1037</v>
      </c>
      <c r="B213" s="1" t="s">
        <v>25</v>
      </c>
      <c r="C213" s="1" t="s">
        <v>10</v>
      </c>
      <c r="D213" s="1" t="s">
        <v>15</v>
      </c>
      <c r="E213" s="2">
        <v>45422</v>
      </c>
      <c r="F213" s="1">
        <v>22</v>
      </c>
      <c r="G213" s="1">
        <v>5118</v>
      </c>
      <c r="H213" s="1" t="s">
        <v>29</v>
      </c>
      <c r="I213" s="1">
        <v>112596</v>
      </c>
      <c r="J213" t="str">
        <f t="shared" si="3"/>
        <v>May</v>
      </c>
    </row>
    <row r="214" spans="1:10" x14ac:dyDescent="0.25">
      <c r="A214" s="1">
        <v>1031</v>
      </c>
      <c r="B214" s="1" t="s">
        <v>9</v>
      </c>
      <c r="C214" s="1" t="s">
        <v>14</v>
      </c>
      <c r="D214" s="1" t="s">
        <v>11</v>
      </c>
      <c r="E214" s="2">
        <v>45823</v>
      </c>
      <c r="F214" s="1">
        <v>41</v>
      </c>
      <c r="G214" s="1">
        <v>8616</v>
      </c>
      <c r="H214" s="1" t="s">
        <v>29</v>
      </c>
      <c r="I214" s="1">
        <v>353256</v>
      </c>
      <c r="J214" t="str">
        <f t="shared" si="3"/>
        <v>June</v>
      </c>
    </row>
    <row r="215" spans="1:10" x14ac:dyDescent="0.25">
      <c r="A215" s="1">
        <v>1042</v>
      </c>
      <c r="B215" s="1" t="s">
        <v>13</v>
      </c>
      <c r="C215" s="1" t="s">
        <v>10</v>
      </c>
      <c r="D215" s="1" t="s">
        <v>21</v>
      </c>
      <c r="E215" s="2">
        <v>45808</v>
      </c>
      <c r="F215" s="1">
        <v>4</v>
      </c>
      <c r="G215" s="1">
        <v>4274</v>
      </c>
      <c r="H215" s="1" t="s">
        <v>16</v>
      </c>
      <c r="I215" s="1">
        <v>17096</v>
      </c>
      <c r="J215" t="str">
        <f t="shared" si="3"/>
        <v>May</v>
      </c>
    </row>
    <row r="216" spans="1:10" x14ac:dyDescent="0.25">
      <c r="A216" s="1">
        <v>1039</v>
      </c>
      <c r="B216" s="1" t="s">
        <v>13</v>
      </c>
      <c r="C216" s="1" t="s">
        <v>14</v>
      </c>
      <c r="D216" s="1" t="s">
        <v>15</v>
      </c>
      <c r="E216" s="2">
        <v>45277</v>
      </c>
      <c r="F216" s="1">
        <v>40</v>
      </c>
      <c r="G216" s="1">
        <v>4058</v>
      </c>
      <c r="H216" s="1" t="s">
        <v>28</v>
      </c>
      <c r="I216" s="1">
        <v>162320</v>
      </c>
      <c r="J216" t="str">
        <f t="shared" si="3"/>
        <v>December</v>
      </c>
    </row>
    <row r="217" spans="1:10" x14ac:dyDescent="0.25">
      <c r="A217" s="1">
        <v>1017</v>
      </c>
      <c r="B217" s="1" t="s">
        <v>13</v>
      </c>
      <c r="C217" s="1" t="s">
        <v>14</v>
      </c>
      <c r="D217" s="1" t="s">
        <v>15</v>
      </c>
      <c r="E217" s="2">
        <v>45510</v>
      </c>
      <c r="F217" s="1">
        <v>39</v>
      </c>
      <c r="G217" s="1">
        <v>39661</v>
      </c>
      <c r="H217" s="1" t="s">
        <v>29</v>
      </c>
      <c r="I217" s="1">
        <v>1546779</v>
      </c>
      <c r="J217" t="str">
        <f t="shared" si="3"/>
        <v>August</v>
      </c>
    </row>
    <row r="218" spans="1:10" x14ac:dyDescent="0.25">
      <c r="A218" s="1">
        <v>1028</v>
      </c>
      <c r="B218" s="1" t="s">
        <v>22</v>
      </c>
      <c r="C218" s="1" t="s">
        <v>14</v>
      </c>
      <c r="D218" s="1" t="s">
        <v>15</v>
      </c>
      <c r="E218" s="2">
        <v>45990</v>
      </c>
      <c r="F218" s="1">
        <v>29</v>
      </c>
      <c r="G218" s="1">
        <v>2714</v>
      </c>
      <c r="H218" s="1" t="s">
        <v>23</v>
      </c>
      <c r="I218" s="1">
        <v>78706</v>
      </c>
      <c r="J218" t="str">
        <f t="shared" si="3"/>
        <v>November</v>
      </c>
    </row>
    <row r="219" spans="1:10" x14ac:dyDescent="0.25">
      <c r="A219" s="1">
        <v>1004</v>
      </c>
      <c r="B219" s="1" t="s">
        <v>22</v>
      </c>
      <c r="C219" s="1" t="s">
        <v>10</v>
      </c>
      <c r="D219" s="1" t="s">
        <v>15</v>
      </c>
      <c r="E219" s="2">
        <v>45813</v>
      </c>
      <c r="F219" s="1">
        <v>30</v>
      </c>
      <c r="G219" s="1">
        <v>18822</v>
      </c>
      <c r="H219" s="1" t="s">
        <v>16</v>
      </c>
      <c r="I219" s="1">
        <v>564660</v>
      </c>
      <c r="J219" t="str">
        <f t="shared" si="3"/>
        <v>June</v>
      </c>
    </row>
    <row r="220" spans="1:10" x14ac:dyDescent="0.25">
      <c r="A220" s="1">
        <v>1006</v>
      </c>
      <c r="B220" s="1" t="s">
        <v>27</v>
      </c>
      <c r="C220" s="1" t="s">
        <v>14</v>
      </c>
      <c r="D220" s="1" t="s">
        <v>21</v>
      </c>
      <c r="E220" s="2">
        <v>45980</v>
      </c>
      <c r="F220" s="1">
        <v>47</v>
      </c>
      <c r="G220" s="1">
        <v>46069</v>
      </c>
      <c r="H220" s="1" t="s">
        <v>28</v>
      </c>
      <c r="I220" s="1">
        <v>2165243</v>
      </c>
      <c r="J220" t="str">
        <f t="shared" si="3"/>
        <v>November</v>
      </c>
    </row>
    <row r="221" spans="1:10" x14ac:dyDescent="0.25">
      <c r="A221" s="1">
        <v>1019</v>
      </c>
      <c r="B221" s="1" t="s">
        <v>13</v>
      </c>
      <c r="C221" s="1" t="s">
        <v>10</v>
      </c>
      <c r="D221" s="1" t="s">
        <v>11</v>
      </c>
      <c r="E221" s="2">
        <v>45970</v>
      </c>
      <c r="F221" s="1">
        <v>14</v>
      </c>
      <c r="G221" s="1">
        <v>43166</v>
      </c>
      <c r="H221" s="1" t="s">
        <v>19</v>
      </c>
      <c r="I221" s="1">
        <v>604324</v>
      </c>
      <c r="J221" t="str">
        <f t="shared" si="3"/>
        <v>November</v>
      </c>
    </row>
    <row r="222" spans="1:10" x14ac:dyDescent="0.25">
      <c r="A222" s="1">
        <v>1023</v>
      </c>
      <c r="B222" s="1" t="s">
        <v>32</v>
      </c>
      <c r="C222" s="1" t="s">
        <v>14</v>
      </c>
      <c r="D222" s="1" t="s">
        <v>21</v>
      </c>
      <c r="E222" s="2">
        <v>45220</v>
      </c>
      <c r="F222" s="1">
        <v>2</v>
      </c>
      <c r="G222" s="1">
        <v>39954</v>
      </c>
      <c r="H222" s="1" t="s">
        <v>29</v>
      </c>
      <c r="I222" s="1">
        <v>79908</v>
      </c>
      <c r="J222" t="str">
        <f t="shared" si="3"/>
        <v>October</v>
      </c>
    </row>
    <row r="223" spans="1:10" x14ac:dyDescent="0.25">
      <c r="A223" s="1">
        <v>1040</v>
      </c>
      <c r="B223" s="1" t="s">
        <v>20</v>
      </c>
      <c r="C223" s="1" t="s">
        <v>14</v>
      </c>
      <c r="D223" s="1" t="s">
        <v>18</v>
      </c>
      <c r="E223" s="2">
        <v>44928</v>
      </c>
      <c r="F223" s="1">
        <v>16</v>
      </c>
      <c r="G223" s="1">
        <v>2990</v>
      </c>
      <c r="H223" s="1" t="s">
        <v>19</v>
      </c>
      <c r="I223" s="1">
        <v>47840</v>
      </c>
      <c r="J223" t="str">
        <f t="shared" si="3"/>
        <v>January</v>
      </c>
    </row>
    <row r="224" spans="1:10" x14ac:dyDescent="0.25">
      <c r="A224" s="1">
        <v>1045</v>
      </c>
      <c r="B224" s="1" t="s">
        <v>32</v>
      </c>
      <c r="C224" s="1" t="s">
        <v>10</v>
      </c>
      <c r="D224" s="1" t="s">
        <v>21</v>
      </c>
      <c r="E224" s="2">
        <v>45060</v>
      </c>
      <c r="F224" s="1">
        <v>12</v>
      </c>
      <c r="G224" s="1">
        <v>3995</v>
      </c>
      <c r="H224" s="1" t="s">
        <v>29</v>
      </c>
      <c r="I224" s="1">
        <v>47940</v>
      </c>
      <c r="J224" t="str">
        <f t="shared" si="3"/>
        <v>May</v>
      </c>
    </row>
    <row r="225" spans="1:10" x14ac:dyDescent="0.25">
      <c r="A225" s="1">
        <v>1042</v>
      </c>
      <c r="B225" s="1" t="s">
        <v>9</v>
      </c>
      <c r="C225" s="1" t="s">
        <v>10</v>
      </c>
      <c r="D225" s="1" t="s">
        <v>11</v>
      </c>
      <c r="E225" s="2">
        <v>45288</v>
      </c>
      <c r="F225" s="1">
        <v>41</v>
      </c>
      <c r="G225" s="1">
        <v>17843</v>
      </c>
      <c r="H225" s="1" t="s">
        <v>12</v>
      </c>
      <c r="I225" s="1">
        <v>731563</v>
      </c>
      <c r="J225" t="str">
        <f t="shared" si="3"/>
        <v>December</v>
      </c>
    </row>
    <row r="226" spans="1:10" x14ac:dyDescent="0.25">
      <c r="A226" s="1">
        <v>1006</v>
      </c>
      <c r="B226" s="1" t="s">
        <v>31</v>
      </c>
      <c r="C226" s="1" t="s">
        <v>10</v>
      </c>
      <c r="D226" s="1" t="s">
        <v>18</v>
      </c>
      <c r="E226" s="2">
        <v>45516</v>
      </c>
      <c r="F226" s="1">
        <v>39</v>
      </c>
      <c r="G226" s="1">
        <v>35198</v>
      </c>
      <c r="H226" s="1" t="s">
        <v>26</v>
      </c>
      <c r="I226" s="1">
        <v>1372722</v>
      </c>
      <c r="J226" t="str">
        <f t="shared" si="3"/>
        <v>August</v>
      </c>
    </row>
    <row r="227" spans="1:10" x14ac:dyDescent="0.25">
      <c r="A227" s="1">
        <v>1024</v>
      </c>
      <c r="B227" s="1" t="s">
        <v>24</v>
      </c>
      <c r="C227" s="1" t="s">
        <v>14</v>
      </c>
      <c r="D227" s="1" t="s">
        <v>15</v>
      </c>
      <c r="E227" s="2">
        <v>44952</v>
      </c>
      <c r="F227" s="1">
        <v>43</v>
      </c>
      <c r="G227" s="1">
        <v>23117</v>
      </c>
      <c r="H227" s="1" t="s">
        <v>19</v>
      </c>
      <c r="I227" s="1">
        <v>994031</v>
      </c>
      <c r="J227" t="str">
        <f t="shared" si="3"/>
        <v>January</v>
      </c>
    </row>
    <row r="228" spans="1:10" x14ac:dyDescent="0.25">
      <c r="A228" s="1">
        <v>1022</v>
      </c>
      <c r="B228" s="1" t="s">
        <v>24</v>
      </c>
      <c r="C228" s="1" t="s">
        <v>10</v>
      </c>
      <c r="D228" s="1" t="s">
        <v>15</v>
      </c>
      <c r="E228" s="2">
        <v>45536</v>
      </c>
      <c r="F228" s="1">
        <v>38</v>
      </c>
      <c r="G228" s="1">
        <v>43264</v>
      </c>
      <c r="H228" s="1" t="s">
        <v>23</v>
      </c>
      <c r="I228" s="1">
        <v>1644032</v>
      </c>
      <c r="J228" t="str">
        <f t="shared" si="3"/>
        <v>September</v>
      </c>
    </row>
    <row r="229" spans="1:10" x14ac:dyDescent="0.25">
      <c r="A229" s="1">
        <v>1021</v>
      </c>
      <c r="B229" s="1" t="s">
        <v>24</v>
      </c>
      <c r="C229" s="1" t="s">
        <v>10</v>
      </c>
      <c r="D229" s="1" t="s">
        <v>15</v>
      </c>
      <c r="E229" s="2">
        <v>45556</v>
      </c>
      <c r="F229" s="1">
        <v>46</v>
      </c>
      <c r="G229" s="1">
        <v>27344</v>
      </c>
      <c r="H229" s="1" t="s">
        <v>29</v>
      </c>
      <c r="I229" s="1">
        <v>1257824</v>
      </c>
      <c r="J229" t="str">
        <f t="shared" si="3"/>
        <v>September</v>
      </c>
    </row>
    <row r="230" spans="1:10" x14ac:dyDescent="0.25">
      <c r="A230" s="1">
        <v>1014</v>
      </c>
      <c r="B230" s="1" t="s">
        <v>20</v>
      </c>
      <c r="C230" s="1" t="s">
        <v>10</v>
      </c>
      <c r="D230" s="1" t="s">
        <v>18</v>
      </c>
      <c r="E230" s="2">
        <v>45404</v>
      </c>
      <c r="F230" s="1">
        <v>31</v>
      </c>
      <c r="G230" s="1">
        <v>43363</v>
      </c>
      <c r="H230" s="1" t="s">
        <v>12</v>
      </c>
      <c r="I230" s="1">
        <v>1344253</v>
      </c>
      <c r="J230" t="str">
        <f t="shared" si="3"/>
        <v>April</v>
      </c>
    </row>
    <row r="231" spans="1:10" x14ac:dyDescent="0.25">
      <c r="A231" s="1">
        <v>1024</v>
      </c>
      <c r="B231" s="1" t="s">
        <v>27</v>
      </c>
      <c r="C231" s="1" t="s">
        <v>14</v>
      </c>
      <c r="D231" s="1" t="s">
        <v>11</v>
      </c>
      <c r="E231" s="2">
        <v>45381</v>
      </c>
      <c r="F231" s="1">
        <v>45</v>
      </c>
      <c r="G231" s="1">
        <v>42930</v>
      </c>
      <c r="H231" s="1" t="s">
        <v>29</v>
      </c>
      <c r="I231" s="1">
        <v>1931850</v>
      </c>
      <c r="J231" t="str">
        <f t="shared" si="3"/>
        <v>March</v>
      </c>
    </row>
    <row r="232" spans="1:10" x14ac:dyDescent="0.25">
      <c r="A232" s="1">
        <v>1025</v>
      </c>
      <c r="B232" s="1" t="s">
        <v>17</v>
      </c>
      <c r="C232" s="1" t="s">
        <v>14</v>
      </c>
      <c r="D232" s="1" t="s">
        <v>18</v>
      </c>
      <c r="E232" s="2">
        <v>45369</v>
      </c>
      <c r="F232" s="1">
        <v>41</v>
      </c>
      <c r="G232" s="1">
        <v>18315</v>
      </c>
      <c r="H232" s="1" t="s">
        <v>16</v>
      </c>
      <c r="I232" s="1">
        <v>750915</v>
      </c>
      <c r="J232" t="str">
        <f t="shared" si="3"/>
        <v>March</v>
      </c>
    </row>
    <row r="233" spans="1:10" x14ac:dyDescent="0.25">
      <c r="A233" s="1">
        <v>1017</v>
      </c>
      <c r="B233" s="1" t="s">
        <v>22</v>
      </c>
      <c r="C233" s="1" t="s">
        <v>14</v>
      </c>
      <c r="D233" s="1" t="s">
        <v>15</v>
      </c>
      <c r="E233" s="2">
        <v>45520</v>
      </c>
      <c r="F233" s="1">
        <v>32</v>
      </c>
      <c r="G233" s="1">
        <v>15729</v>
      </c>
      <c r="H233" s="1" t="s">
        <v>30</v>
      </c>
      <c r="I233" s="1">
        <v>503328</v>
      </c>
      <c r="J233" t="str">
        <f t="shared" si="3"/>
        <v>August</v>
      </c>
    </row>
    <row r="234" spans="1:10" x14ac:dyDescent="0.25">
      <c r="A234" s="1">
        <v>1046</v>
      </c>
      <c r="B234" s="1" t="s">
        <v>9</v>
      </c>
      <c r="C234" s="1" t="s">
        <v>14</v>
      </c>
      <c r="D234" s="1" t="s">
        <v>15</v>
      </c>
      <c r="E234" s="2">
        <v>45332</v>
      </c>
      <c r="F234" s="1">
        <v>33</v>
      </c>
      <c r="G234" s="1">
        <v>28258</v>
      </c>
      <c r="H234" s="1" t="s">
        <v>26</v>
      </c>
      <c r="I234" s="1">
        <v>932514</v>
      </c>
      <c r="J234" t="str">
        <f t="shared" si="3"/>
        <v>February</v>
      </c>
    </row>
    <row r="235" spans="1:10" x14ac:dyDescent="0.25">
      <c r="A235" s="1">
        <v>1035</v>
      </c>
      <c r="B235" s="1" t="s">
        <v>32</v>
      </c>
      <c r="C235" s="1" t="s">
        <v>14</v>
      </c>
      <c r="D235" s="1" t="s">
        <v>15</v>
      </c>
      <c r="E235" s="2">
        <v>45366</v>
      </c>
      <c r="F235" s="1">
        <v>14</v>
      </c>
      <c r="G235" s="1">
        <v>30629</v>
      </c>
      <c r="H235" s="1" t="s">
        <v>28</v>
      </c>
      <c r="I235" s="1">
        <v>428806</v>
      </c>
      <c r="J235" t="str">
        <f t="shared" si="3"/>
        <v>March</v>
      </c>
    </row>
    <row r="236" spans="1:10" x14ac:dyDescent="0.25">
      <c r="A236" s="1">
        <v>1017</v>
      </c>
      <c r="B236" s="1" t="s">
        <v>32</v>
      </c>
      <c r="C236" s="1" t="s">
        <v>14</v>
      </c>
      <c r="D236" s="1" t="s">
        <v>18</v>
      </c>
      <c r="E236" s="2">
        <v>45391</v>
      </c>
      <c r="F236" s="1">
        <v>12</v>
      </c>
      <c r="G236" s="1">
        <v>24922</v>
      </c>
      <c r="H236" s="1" t="s">
        <v>12</v>
      </c>
      <c r="I236" s="1">
        <v>299064</v>
      </c>
      <c r="J236" t="str">
        <f t="shared" si="3"/>
        <v>April</v>
      </c>
    </row>
    <row r="237" spans="1:10" x14ac:dyDescent="0.25">
      <c r="A237" s="1">
        <v>1028</v>
      </c>
      <c r="B237" s="1" t="s">
        <v>32</v>
      </c>
      <c r="C237" s="1" t="s">
        <v>14</v>
      </c>
      <c r="D237" s="1" t="s">
        <v>18</v>
      </c>
      <c r="E237" s="2">
        <v>45963</v>
      </c>
      <c r="F237" s="1">
        <v>45</v>
      </c>
      <c r="G237" s="1">
        <v>13440</v>
      </c>
      <c r="H237" s="1" t="s">
        <v>26</v>
      </c>
      <c r="I237" s="1">
        <v>604800</v>
      </c>
      <c r="J237" t="str">
        <f t="shared" si="3"/>
        <v>November</v>
      </c>
    </row>
    <row r="238" spans="1:10" x14ac:dyDescent="0.25">
      <c r="A238" s="1">
        <v>1002</v>
      </c>
      <c r="B238" s="1" t="s">
        <v>24</v>
      </c>
      <c r="C238" s="1" t="s">
        <v>10</v>
      </c>
      <c r="D238" s="1" t="s">
        <v>11</v>
      </c>
      <c r="E238" s="2">
        <v>45019</v>
      </c>
      <c r="F238" s="1">
        <v>18</v>
      </c>
      <c r="G238" s="1">
        <v>4550</v>
      </c>
      <c r="H238" s="1" t="s">
        <v>26</v>
      </c>
      <c r="I238" s="1">
        <v>81900</v>
      </c>
      <c r="J238" t="str">
        <f t="shared" si="3"/>
        <v>April</v>
      </c>
    </row>
    <row r="239" spans="1:10" x14ac:dyDescent="0.25">
      <c r="A239" s="1">
        <v>1034</v>
      </c>
      <c r="B239" s="1" t="s">
        <v>17</v>
      </c>
      <c r="C239" s="1" t="s">
        <v>10</v>
      </c>
      <c r="D239" s="1" t="s">
        <v>15</v>
      </c>
      <c r="E239" s="2">
        <v>45545</v>
      </c>
      <c r="F239" s="1">
        <v>35</v>
      </c>
      <c r="G239" s="1">
        <v>23721</v>
      </c>
      <c r="H239" s="1" t="s">
        <v>12</v>
      </c>
      <c r="I239" s="1">
        <v>830235</v>
      </c>
      <c r="J239" t="str">
        <f t="shared" si="3"/>
        <v>September</v>
      </c>
    </row>
    <row r="240" spans="1:10" x14ac:dyDescent="0.25">
      <c r="A240" s="1">
        <v>1001</v>
      </c>
      <c r="B240" s="1" t="s">
        <v>9</v>
      </c>
      <c r="C240" s="1" t="s">
        <v>10</v>
      </c>
      <c r="D240" s="1" t="s">
        <v>18</v>
      </c>
      <c r="E240" s="2">
        <v>45092</v>
      </c>
      <c r="F240" s="1">
        <v>9</v>
      </c>
      <c r="G240" s="1">
        <v>44786</v>
      </c>
      <c r="H240" s="1" t="s">
        <v>26</v>
      </c>
      <c r="I240" s="1">
        <v>403074</v>
      </c>
      <c r="J240" t="str">
        <f t="shared" si="3"/>
        <v>June</v>
      </c>
    </row>
    <row r="241" spans="1:10" x14ac:dyDescent="0.25">
      <c r="A241" s="1">
        <v>1047</v>
      </c>
      <c r="B241" s="1" t="s">
        <v>9</v>
      </c>
      <c r="C241" s="1" t="s">
        <v>14</v>
      </c>
      <c r="D241" s="1" t="s">
        <v>18</v>
      </c>
      <c r="E241" s="2">
        <v>44941</v>
      </c>
      <c r="F241" s="1">
        <v>26</v>
      </c>
      <c r="G241" s="1">
        <v>26346</v>
      </c>
      <c r="H241" s="1" t="s">
        <v>12</v>
      </c>
      <c r="I241" s="1">
        <v>684996</v>
      </c>
      <c r="J241" t="str">
        <f t="shared" si="3"/>
        <v>January</v>
      </c>
    </row>
    <row r="242" spans="1:10" x14ac:dyDescent="0.25">
      <c r="A242" s="1">
        <v>1003</v>
      </c>
      <c r="B242" s="1" t="s">
        <v>31</v>
      </c>
      <c r="C242" s="1" t="s">
        <v>14</v>
      </c>
      <c r="D242" s="1" t="s">
        <v>21</v>
      </c>
      <c r="E242" s="2">
        <v>45552</v>
      </c>
      <c r="F242" s="1">
        <v>12</v>
      </c>
      <c r="G242" s="1">
        <v>11865</v>
      </c>
      <c r="H242" s="1" t="s">
        <v>30</v>
      </c>
      <c r="I242" s="1">
        <v>142380</v>
      </c>
      <c r="J242" t="str">
        <f t="shared" si="3"/>
        <v>September</v>
      </c>
    </row>
    <row r="243" spans="1:10" x14ac:dyDescent="0.25">
      <c r="A243" s="1">
        <v>1022</v>
      </c>
      <c r="B243" s="1" t="s">
        <v>32</v>
      </c>
      <c r="C243" s="1" t="s">
        <v>14</v>
      </c>
      <c r="D243" s="1" t="s">
        <v>15</v>
      </c>
      <c r="E243" s="2">
        <v>45567</v>
      </c>
      <c r="F243" s="1">
        <v>11</v>
      </c>
      <c r="G243" s="1">
        <v>27416</v>
      </c>
      <c r="H243" s="1" t="s">
        <v>12</v>
      </c>
      <c r="I243" s="1">
        <v>301576</v>
      </c>
      <c r="J243" t="str">
        <f t="shared" si="3"/>
        <v>October</v>
      </c>
    </row>
    <row r="244" spans="1:10" x14ac:dyDescent="0.25">
      <c r="A244" s="1">
        <v>1042</v>
      </c>
      <c r="B244" s="1" t="s">
        <v>25</v>
      </c>
      <c r="C244" s="1" t="s">
        <v>10</v>
      </c>
      <c r="D244" s="1" t="s">
        <v>15</v>
      </c>
      <c r="E244" s="2">
        <v>45407</v>
      </c>
      <c r="F244" s="1">
        <v>5</v>
      </c>
      <c r="G244" s="1">
        <v>10401</v>
      </c>
      <c r="H244" s="1" t="s">
        <v>16</v>
      </c>
      <c r="I244" s="1">
        <v>52005</v>
      </c>
      <c r="J244" t="str">
        <f t="shared" si="3"/>
        <v>April</v>
      </c>
    </row>
    <row r="245" spans="1:10" x14ac:dyDescent="0.25">
      <c r="A245" s="1">
        <v>1004</v>
      </c>
      <c r="B245" s="1" t="s">
        <v>32</v>
      </c>
      <c r="C245" s="1" t="s">
        <v>14</v>
      </c>
      <c r="D245" s="1" t="s">
        <v>18</v>
      </c>
      <c r="E245" s="2">
        <v>45988</v>
      </c>
      <c r="F245" s="1">
        <v>8</v>
      </c>
      <c r="G245" s="1">
        <v>40362</v>
      </c>
      <c r="H245" s="1" t="s">
        <v>29</v>
      </c>
      <c r="I245" s="1">
        <v>322896</v>
      </c>
      <c r="J245" t="str">
        <f t="shared" si="3"/>
        <v>November</v>
      </c>
    </row>
    <row r="246" spans="1:10" x14ac:dyDescent="0.25">
      <c r="A246" s="1">
        <v>1015</v>
      </c>
      <c r="B246" s="1" t="s">
        <v>25</v>
      </c>
      <c r="C246" s="1" t="s">
        <v>14</v>
      </c>
      <c r="D246" s="1" t="s">
        <v>21</v>
      </c>
      <c r="E246" s="2">
        <v>45870</v>
      </c>
      <c r="F246" s="1">
        <v>33</v>
      </c>
      <c r="G246" s="1">
        <v>24645</v>
      </c>
      <c r="H246" s="1" t="s">
        <v>30</v>
      </c>
      <c r="I246" s="1">
        <v>813285</v>
      </c>
      <c r="J246" t="str">
        <f t="shared" si="3"/>
        <v>August</v>
      </c>
    </row>
    <row r="247" spans="1:10" x14ac:dyDescent="0.25">
      <c r="A247" s="1">
        <v>1036</v>
      </c>
      <c r="B247" s="1" t="s">
        <v>20</v>
      </c>
      <c r="C247" s="1" t="s">
        <v>10</v>
      </c>
      <c r="D247" s="1" t="s">
        <v>15</v>
      </c>
      <c r="E247" s="2">
        <v>46013</v>
      </c>
      <c r="F247" s="1">
        <v>41</v>
      </c>
      <c r="G247" s="1">
        <v>1330</v>
      </c>
      <c r="H247" s="1" t="s">
        <v>28</v>
      </c>
      <c r="I247" s="1">
        <v>54530</v>
      </c>
      <c r="J247" t="str">
        <f t="shared" si="3"/>
        <v>December</v>
      </c>
    </row>
    <row r="248" spans="1:10" x14ac:dyDescent="0.25">
      <c r="A248" s="1">
        <v>1039</v>
      </c>
      <c r="B248" s="1" t="s">
        <v>32</v>
      </c>
      <c r="C248" s="1" t="s">
        <v>14</v>
      </c>
      <c r="D248" s="1" t="s">
        <v>15</v>
      </c>
      <c r="E248" s="2">
        <v>45372</v>
      </c>
      <c r="F248" s="1">
        <v>13</v>
      </c>
      <c r="G248" s="1">
        <v>45150</v>
      </c>
      <c r="H248" s="1" t="s">
        <v>26</v>
      </c>
      <c r="I248" s="1">
        <v>586950</v>
      </c>
      <c r="J248" t="str">
        <f t="shared" si="3"/>
        <v>March</v>
      </c>
    </row>
    <row r="249" spans="1:10" x14ac:dyDescent="0.25">
      <c r="A249" s="1">
        <v>1012</v>
      </c>
      <c r="B249" s="1" t="s">
        <v>9</v>
      </c>
      <c r="C249" s="1" t="s">
        <v>10</v>
      </c>
      <c r="D249" s="1" t="s">
        <v>15</v>
      </c>
      <c r="E249" s="2">
        <v>45453</v>
      </c>
      <c r="F249" s="1">
        <v>9</v>
      </c>
      <c r="G249" s="1">
        <v>36866</v>
      </c>
      <c r="H249" s="1" t="s">
        <v>29</v>
      </c>
      <c r="I249" s="1">
        <v>331794</v>
      </c>
      <c r="J249" t="str">
        <f t="shared" si="3"/>
        <v>June</v>
      </c>
    </row>
    <row r="250" spans="1:10" x14ac:dyDescent="0.25">
      <c r="A250" s="1">
        <v>1037</v>
      </c>
      <c r="B250" s="1" t="s">
        <v>24</v>
      </c>
      <c r="C250" s="1" t="s">
        <v>14</v>
      </c>
      <c r="D250" s="1" t="s">
        <v>18</v>
      </c>
      <c r="E250" s="2">
        <v>46012</v>
      </c>
      <c r="F250" s="1">
        <v>42</v>
      </c>
      <c r="G250" s="1">
        <v>9152</v>
      </c>
      <c r="H250" s="1" t="s">
        <v>30</v>
      </c>
      <c r="I250" s="1">
        <v>384384</v>
      </c>
      <c r="J250" t="str">
        <f t="shared" si="3"/>
        <v>December</v>
      </c>
    </row>
    <row r="251" spans="1:10" x14ac:dyDescent="0.25">
      <c r="A251" s="1">
        <v>1048</v>
      </c>
      <c r="B251" s="1" t="s">
        <v>17</v>
      </c>
      <c r="C251" s="1" t="s">
        <v>10</v>
      </c>
      <c r="D251" s="1" t="s">
        <v>18</v>
      </c>
      <c r="E251" s="2">
        <v>45819</v>
      </c>
      <c r="F251" s="1">
        <v>36</v>
      </c>
      <c r="G251" s="1">
        <v>7799</v>
      </c>
      <c r="H251" s="1" t="s">
        <v>12</v>
      </c>
      <c r="I251" s="1">
        <v>280764</v>
      </c>
      <c r="J251" t="str">
        <f t="shared" si="3"/>
        <v>June</v>
      </c>
    </row>
    <row r="252" spans="1:10" x14ac:dyDescent="0.25">
      <c r="A252" s="1">
        <v>1041</v>
      </c>
      <c r="B252" s="1" t="s">
        <v>20</v>
      </c>
      <c r="C252" s="1" t="s">
        <v>14</v>
      </c>
      <c r="D252" s="1" t="s">
        <v>11</v>
      </c>
      <c r="E252" s="2">
        <v>45288</v>
      </c>
      <c r="F252" s="1">
        <v>9</v>
      </c>
      <c r="G252" s="1">
        <v>14710</v>
      </c>
      <c r="H252" s="1" t="s">
        <v>30</v>
      </c>
      <c r="I252" s="1">
        <v>132390</v>
      </c>
      <c r="J252" t="str">
        <f t="shared" si="3"/>
        <v>December</v>
      </c>
    </row>
    <row r="253" spans="1:10" x14ac:dyDescent="0.25">
      <c r="A253" s="1">
        <v>1007</v>
      </c>
      <c r="B253" s="1" t="s">
        <v>22</v>
      </c>
      <c r="C253" s="1" t="s">
        <v>10</v>
      </c>
      <c r="D253" s="1" t="s">
        <v>11</v>
      </c>
      <c r="E253" s="2">
        <v>45476</v>
      </c>
      <c r="F253" s="1">
        <v>46</v>
      </c>
      <c r="G253" s="1">
        <v>14240</v>
      </c>
      <c r="H253" s="1" t="s">
        <v>28</v>
      </c>
      <c r="I253" s="1">
        <v>655040</v>
      </c>
      <c r="J253" t="str">
        <f t="shared" si="3"/>
        <v>July</v>
      </c>
    </row>
    <row r="254" spans="1:10" x14ac:dyDescent="0.25">
      <c r="A254" s="1">
        <v>1031</v>
      </c>
      <c r="B254" s="1" t="s">
        <v>31</v>
      </c>
      <c r="C254" s="1" t="s">
        <v>14</v>
      </c>
      <c r="D254" s="1" t="s">
        <v>15</v>
      </c>
      <c r="E254" s="2">
        <v>45149</v>
      </c>
      <c r="F254" s="1">
        <v>26</v>
      </c>
      <c r="G254" s="1">
        <v>48775</v>
      </c>
      <c r="H254" s="1" t="s">
        <v>16</v>
      </c>
      <c r="I254" s="1">
        <v>1268150</v>
      </c>
      <c r="J254" t="str">
        <f t="shared" si="3"/>
        <v>August</v>
      </c>
    </row>
    <row r="255" spans="1:10" x14ac:dyDescent="0.25">
      <c r="A255" s="1">
        <v>1005</v>
      </c>
      <c r="B255" s="1" t="s">
        <v>32</v>
      </c>
      <c r="C255" s="1" t="s">
        <v>14</v>
      </c>
      <c r="D255" s="1" t="s">
        <v>21</v>
      </c>
      <c r="E255" s="2">
        <v>45369</v>
      </c>
      <c r="F255" s="1">
        <v>48</v>
      </c>
      <c r="G255" s="1">
        <v>43622</v>
      </c>
      <c r="H255" s="1" t="s">
        <v>23</v>
      </c>
      <c r="I255" s="1">
        <v>2093856</v>
      </c>
      <c r="J255" t="str">
        <f t="shared" si="3"/>
        <v>March</v>
      </c>
    </row>
    <row r="256" spans="1:10" x14ac:dyDescent="0.25">
      <c r="A256" s="1">
        <v>1027</v>
      </c>
      <c r="B256" s="1" t="s">
        <v>9</v>
      </c>
      <c r="C256" s="1" t="s">
        <v>10</v>
      </c>
      <c r="D256" s="1" t="s">
        <v>15</v>
      </c>
      <c r="E256" s="2">
        <v>45957</v>
      </c>
      <c r="F256" s="1">
        <v>43</v>
      </c>
      <c r="G256" s="1">
        <v>8332</v>
      </c>
      <c r="H256" s="1" t="s">
        <v>12</v>
      </c>
      <c r="I256" s="1">
        <v>358276</v>
      </c>
      <c r="J256" t="str">
        <f t="shared" si="3"/>
        <v>October</v>
      </c>
    </row>
    <row r="257" spans="1:10" x14ac:dyDescent="0.25">
      <c r="A257" s="1">
        <v>1025</v>
      </c>
      <c r="B257" s="1" t="s">
        <v>31</v>
      </c>
      <c r="C257" s="1" t="s">
        <v>14</v>
      </c>
      <c r="D257" s="1" t="s">
        <v>21</v>
      </c>
      <c r="E257" s="2">
        <v>45772</v>
      </c>
      <c r="F257" s="1">
        <v>20</v>
      </c>
      <c r="G257" s="1">
        <v>7287</v>
      </c>
      <c r="H257" s="1" t="s">
        <v>12</v>
      </c>
      <c r="I257" s="1">
        <v>145740</v>
      </c>
      <c r="J257" t="str">
        <f t="shared" si="3"/>
        <v>April</v>
      </c>
    </row>
    <row r="258" spans="1:10" x14ac:dyDescent="0.25">
      <c r="A258" s="1">
        <v>1017</v>
      </c>
      <c r="B258" s="1" t="s">
        <v>20</v>
      </c>
      <c r="C258" s="1" t="s">
        <v>10</v>
      </c>
      <c r="D258" s="1" t="s">
        <v>18</v>
      </c>
      <c r="E258" s="2">
        <v>45168</v>
      </c>
      <c r="F258" s="1">
        <v>28</v>
      </c>
      <c r="G258" s="1">
        <v>18759</v>
      </c>
      <c r="H258" s="1" t="s">
        <v>29</v>
      </c>
      <c r="I258" s="1">
        <v>525252</v>
      </c>
      <c r="J258" t="str">
        <f t="shared" si="3"/>
        <v>August</v>
      </c>
    </row>
    <row r="259" spans="1:10" x14ac:dyDescent="0.25">
      <c r="A259" s="1">
        <v>1028</v>
      </c>
      <c r="B259" s="1" t="s">
        <v>20</v>
      </c>
      <c r="C259" s="1" t="s">
        <v>10</v>
      </c>
      <c r="D259" s="1" t="s">
        <v>11</v>
      </c>
      <c r="E259" s="2">
        <v>45490</v>
      </c>
      <c r="F259" s="1">
        <v>24</v>
      </c>
      <c r="G259" s="1">
        <v>17994</v>
      </c>
      <c r="H259" s="1" t="s">
        <v>23</v>
      </c>
      <c r="I259" s="1">
        <v>431856</v>
      </c>
      <c r="J259" t="str">
        <f t="shared" ref="J259:J322" si="4">TEXT(E259,"mmmm")</f>
        <v>July</v>
      </c>
    </row>
    <row r="260" spans="1:10" x14ac:dyDescent="0.25">
      <c r="A260" s="1">
        <v>1027</v>
      </c>
      <c r="B260" s="1" t="s">
        <v>32</v>
      </c>
      <c r="C260" s="1" t="s">
        <v>14</v>
      </c>
      <c r="D260" s="1" t="s">
        <v>18</v>
      </c>
      <c r="E260" s="2">
        <v>45260</v>
      </c>
      <c r="F260" s="1">
        <v>1</v>
      </c>
      <c r="G260" s="1">
        <v>16476</v>
      </c>
      <c r="H260" s="1" t="s">
        <v>26</v>
      </c>
      <c r="I260" s="1">
        <v>16476</v>
      </c>
      <c r="J260" t="str">
        <f t="shared" si="4"/>
        <v>November</v>
      </c>
    </row>
    <row r="261" spans="1:10" x14ac:dyDescent="0.25">
      <c r="A261" s="1">
        <v>1026</v>
      </c>
      <c r="B261" s="1" t="s">
        <v>22</v>
      </c>
      <c r="C261" s="1" t="s">
        <v>10</v>
      </c>
      <c r="D261" s="1" t="s">
        <v>21</v>
      </c>
      <c r="E261" s="2">
        <v>45533</v>
      </c>
      <c r="F261" s="1">
        <v>25</v>
      </c>
      <c r="G261" s="1">
        <v>46499</v>
      </c>
      <c r="H261" s="1" t="s">
        <v>19</v>
      </c>
      <c r="I261" s="1">
        <v>1162475</v>
      </c>
      <c r="J261" t="str">
        <f t="shared" si="4"/>
        <v>August</v>
      </c>
    </row>
    <row r="262" spans="1:10" x14ac:dyDescent="0.25">
      <c r="A262" s="1">
        <v>1049</v>
      </c>
      <c r="B262" s="1" t="s">
        <v>31</v>
      </c>
      <c r="C262" s="1" t="s">
        <v>14</v>
      </c>
      <c r="D262" s="1" t="s">
        <v>21</v>
      </c>
      <c r="E262" s="2">
        <v>45092</v>
      </c>
      <c r="F262" s="1">
        <v>46</v>
      </c>
      <c r="G262" s="1">
        <v>34605</v>
      </c>
      <c r="H262" s="1" t="s">
        <v>12</v>
      </c>
      <c r="I262" s="1">
        <v>1591830</v>
      </c>
      <c r="J262" t="str">
        <f t="shared" si="4"/>
        <v>June</v>
      </c>
    </row>
    <row r="263" spans="1:10" x14ac:dyDescent="0.25">
      <c r="A263" s="1">
        <v>1029</v>
      </c>
      <c r="B263" s="1" t="s">
        <v>25</v>
      </c>
      <c r="C263" s="1" t="s">
        <v>14</v>
      </c>
      <c r="D263" s="1" t="s">
        <v>11</v>
      </c>
      <c r="E263" s="2">
        <v>45778</v>
      </c>
      <c r="F263" s="1">
        <v>11</v>
      </c>
      <c r="G263" s="1">
        <v>11760</v>
      </c>
      <c r="H263" s="1" t="s">
        <v>12</v>
      </c>
      <c r="I263" s="1">
        <v>129360</v>
      </c>
      <c r="J263" t="str">
        <f t="shared" si="4"/>
        <v>May</v>
      </c>
    </row>
    <row r="264" spans="1:10" x14ac:dyDescent="0.25">
      <c r="A264" s="1">
        <v>1027</v>
      </c>
      <c r="B264" s="1" t="s">
        <v>24</v>
      </c>
      <c r="C264" s="1" t="s">
        <v>14</v>
      </c>
      <c r="D264" s="1" t="s">
        <v>18</v>
      </c>
      <c r="E264" s="2">
        <v>45441</v>
      </c>
      <c r="F264" s="1">
        <v>5</v>
      </c>
      <c r="G264" s="1">
        <v>9494</v>
      </c>
      <c r="H264" s="1" t="s">
        <v>23</v>
      </c>
      <c r="I264" s="1">
        <v>47470</v>
      </c>
      <c r="J264" t="str">
        <f t="shared" si="4"/>
        <v>May</v>
      </c>
    </row>
    <row r="265" spans="1:10" x14ac:dyDescent="0.25">
      <c r="A265" s="1">
        <v>1017</v>
      </c>
      <c r="B265" s="1" t="s">
        <v>17</v>
      </c>
      <c r="C265" s="1" t="s">
        <v>14</v>
      </c>
      <c r="D265" s="1" t="s">
        <v>15</v>
      </c>
      <c r="E265" s="2">
        <v>45786</v>
      </c>
      <c r="F265" s="1">
        <v>14</v>
      </c>
      <c r="G265" s="1">
        <v>32641</v>
      </c>
      <c r="H265" s="1" t="s">
        <v>19</v>
      </c>
      <c r="I265" s="1">
        <v>456974</v>
      </c>
      <c r="J265" t="str">
        <f t="shared" si="4"/>
        <v>May</v>
      </c>
    </row>
    <row r="266" spans="1:10" x14ac:dyDescent="0.25">
      <c r="A266" s="1">
        <v>1038</v>
      </c>
      <c r="B266" s="1" t="s">
        <v>9</v>
      </c>
      <c r="C266" s="1" t="s">
        <v>14</v>
      </c>
      <c r="D266" s="1" t="s">
        <v>18</v>
      </c>
      <c r="E266" s="2">
        <v>45913</v>
      </c>
      <c r="F266" s="1">
        <v>18</v>
      </c>
      <c r="G266" s="1">
        <v>11541</v>
      </c>
      <c r="H266" s="1" t="s">
        <v>16</v>
      </c>
      <c r="I266" s="1">
        <v>207738</v>
      </c>
      <c r="J266" t="str">
        <f t="shared" si="4"/>
        <v>September</v>
      </c>
    </row>
    <row r="267" spans="1:10" x14ac:dyDescent="0.25">
      <c r="A267" s="1">
        <v>1016</v>
      </c>
      <c r="B267" s="1" t="s">
        <v>17</v>
      </c>
      <c r="C267" s="1" t="s">
        <v>14</v>
      </c>
      <c r="D267" s="1" t="s">
        <v>21</v>
      </c>
      <c r="E267" s="2">
        <v>45293</v>
      </c>
      <c r="F267" s="1">
        <v>21</v>
      </c>
      <c r="G267" s="1">
        <v>11169</v>
      </c>
      <c r="H267" s="1" t="s">
        <v>19</v>
      </c>
      <c r="I267" s="1">
        <v>234549</v>
      </c>
      <c r="J267" t="str">
        <f t="shared" si="4"/>
        <v>January</v>
      </c>
    </row>
    <row r="268" spans="1:10" x14ac:dyDescent="0.25">
      <c r="A268" s="1">
        <v>1009</v>
      </c>
      <c r="B268" s="1" t="s">
        <v>20</v>
      </c>
      <c r="C268" s="1" t="s">
        <v>14</v>
      </c>
      <c r="D268" s="1" t="s">
        <v>18</v>
      </c>
      <c r="E268" s="2">
        <v>45599</v>
      </c>
      <c r="F268" s="1">
        <v>37</v>
      </c>
      <c r="G268" s="1">
        <v>28543</v>
      </c>
      <c r="H268" s="1" t="s">
        <v>16</v>
      </c>
      <c r="I268" s="1">
        <v>1056091</v>
      </c>
      <c r="J268" t="str">
        <f t="shared" si="4"/>
        <v>November</v>
      </c>
    </row>
    <row r="269" spans="1:10" x14ac:dyDescent="0.25">
      <c r="A269" s="1">
        <v>1032</v>
      </c>
      <c r="B269" s="1" t="s">
        <v>17</v>
      </c>
      <c r="C269" s="1" t="s">
        <v>14</v>
      </c>
      <c r="D269" s="1" t="s">
        <v>11</v>
      </c>
      <c r="E269" s="2">
        <v>45878</v>
      </c>
      <c r="F269" s="1">
        <v>48</v>
      </c>
      <c r="G269" s="1">
        <v>37283</v>
      </c>
      <c r="H269" s="1" t="s">
        <v>28</v>
      </c>
      <c r="I269" s="1">
        <v>1789584</v>
      </c>
      <c r="J269" t="str">
        <f t="shared" si="4"/>
        <v>August</v>
      </c>
    </row>
    <row r="270" spans="1:10" x14ac:dyDescent="0.25">
      <c r="A270" s="1">
        <v>1001</v>
      </c>
      <c r="B270" s="1" t="s">
        <v>31</v>
      </c>
      <c r="C270" s="1" t="s">
        <v>14</v>
      </c>
      <c r="D270" s="1" t="s">
        <v>18</v>
      </c>
      <c r="E270" s="2">
        <v>45304</v>
      </c>
      <c r="F270" s="1">
        <v>46</v>
      </c>
      <c r="G270" s="1">
        <v>34765</v>
      </c>
      <c r="H270" s="1" t="s">
        <v>12</v>
      </c>
      <c r="I270" s="1">
        <v>1599190</v>
      </c>
      <c r="J270" t="str">
        <f t="shared" si="4"/>
        <v>January</v>
      </c>
    </row>
    <row r="271" spans="1:10" x14ac:dyDescent="0.25">
      <c r="A271" s="1">
        <v>1009</v>
      </c>
      <c r="B271" s="1" t="s">
        <v>20</v>
      </c>
      <c r="C271" s="1" t="s">
        <v>10</v>
      </c>
      <c r="D271" s="1" t="s">
        <v>18</v>
      </c>
      <c r="E271" s="2">
        <v>45698</v>
      </c>
      <c r="F271" s="1">
        <v>49</v>
      </c>
      <c r="G271" s="1">
        <v>15810</v>
      </c>
      <c r="H271" s="1" t="s">
        <v>26</v>
      </c>
      <c r="I271" s="1">
        <v>774690</v>
      </c>
      <c r="J271" t="str">
        <f t="shared" si="4"/>
        <v>February</v>
      </c>
    </row>
    <row r="272" spans="1:10" x14ac:dyDescent="0.25">
      <c r="A272" s="1">
        <v>1007</v>
      </c>
      <c r="B272" s="1" t="s">
        <v>17</v>
      </c>
      <c r="C272" s="1" t="s">
        <v>10</v>
      </c>
      <c r="D272" s="1" t="s">
        <v>21</v>
      </c>
      <c r="E272" s="2">
        <v>45807</v>
      </c>
      <c r="F272" s="1">
        <v>5</v>
      </c>
      <c r="G272" s="1">
        <v>38522</v>
      </c>
      <c r="H272" s="1" t="s">
        <v>30</v>
      </c>
      <c r="I272" s="1">
        <v>192610</v>
      </c>
      <c r="J272" t="str">
        <f t="shared" si="4"/>
        <v>May</v>
      </c>
    </row>
    <row r="273" spans="1:10" x14ac:dyDescent="0.25">
      <c r="A273" s="1">
        <v>1044</v>
      </c>
      <c r="B273" s="1" t="s">
        <v>27</v>
      </c>
      <c r="C273" s="1" t="s">
        <v>10</v>
      </c>
      <c r="D273" s="1" t="s">
        <v>15</v>
      </c>
      <c r="E273" s="2">
        <v>45038</v>
      </c>
      <c r="F273" s="1">
        <v>14</v>
      </c>
      <c r="G273" s="1">
        <v>45298</v>
      </c>
      <c r="H273" s="1" t="s">
        <v>28</v>
      </c>
      <c r="I273" s="1">
        <v>634172</v>
      </c>
      <c r="J273" t="str">
        <f t="shared" si="4"/>
        <v>April</v>
      </c>
    </row>
    <row r="274" spans="1:10" x14ac:dyDescent="0.25">
      <c r="A274" s="1">
        <v>1037</v>
      </c>
      <c r="B274" s="1" t="s">
        <v>31</v>
      </c>
      <c r="C274" s="1" t="s">
        <v>10</v>
      </c>
      <c r="D274" s="1" t="s">
        <v>15</v>
      </c>
      <c r="E274" s="2">
        <v>45085</v>
      </c>
      <c r="F274" s="1">
        <v>35</v>
      </c>
      <c r="G274" s="1">
        <v>21943</v>
      </c>
      <c r="H274" s="1" t="s">
        <v>16</v>
      </c>
      <c r="I274" s="1">
        <v>768005</v>
      </c>
      <c r="J274" t="str">
        <f t="shared" si="4"/>
        <v>June</v>
      </c>
    </row>
    <row r="275" spans="1:10" x14ac:dyDescent="0.25">
      <c r="A275" s="1">
        <v>1040</v>
      </c>
      <c r="B275" s="1" t="s">
        <v>9</v>
      </c>
      <c r="C275" s="1" t="s">
        <v>14</v>
      </c>
      <c r="D275" s="1" t="s">
        <v>11</v>
      </c>
      <c r="E275" s="2">
        <v>45626</v>
      </c>
      <c r="F275" s="1">
        <v>9</v>
      </c>
      <c r="G275" s="1">
        <v>23215</v>
      </c>
      <c r="H275" s="1" t="s">
        <v>30</v>
      </c>
      <c r="I275" s="1">
        <v>208935</v>
      </c>
      <c r="J275" t="str">
        <f t="shared" si="4"/>
        <v>November</v>
      </c>
    </row>
    <row r="276" spans="1:10" x14ac:dyDescent="0.25">
      <c r="A276" s="1">
        <v>1045</v>
      </c>
      <c r="B276" s="1" t="s">
        <v>31</v>
      </c>
      <c r="C276" s="1" t="s">
        <v>10</v>
      </c>
      <c r="D276" s="1" t="s">
        <v>11</v>
      </c>
      <c r="E276" s="2">
        <v>45779</v>
      </c>
      <c r="F276" s="1">
        <v>11</v>
      </c>
      <c r="G276" s="1">
        <v>29296</v>
      </c>
      <c r="H276" s="1" t="s">
        <v>16</v>
      </c>
      <c r="I276" s="1">
        <v>322256</v>
      </c>
      <c r="J276" t="str">
        <f t="shared" si="4"/>
        <v>May</v>
      </c>
    </row>
    <row r="277" spans="1:10" x14ac:dyDescent="0.25">
      <c r="A277" s="1">
        <v>1006</v>
      </c>
      <c r="B277" s="1" t="s">
        <v>27</v>
      </c>
      <c r="C277" s="1" t="s">
        <v>10</v>
      </c>
      <c r="D277" s="1" t="s">
        <v>18</v>
      </c>
      <c r="E277" s="2">
        <v>45726</v>
      </c>
      <c r="F277" s="1">
        <v>4</v>
      </c>
      <c r="G277" s="1">
        <v>42469</v>
      </c>
      <c r="H277" s="1" t="s">
        <v>29</v>
      </c>
      <c r="I277" s="1">
        <v>169876</v>
      </c>
      <c r="J277" t="str">
        <f t="shared" si="4"/>
        <v>March</v>
      </c>
    </row>
    <row r="278" spans="1:10" x14ac:dyDescent="0.25">
      <c r="A278" s="1">
        <v>1037</v>
      </c>
      <c r="B278" s="1" t="s">
        <v>17</v>
      </c>
      <c r="C278" s="1" t="s">
        <v>10</v>
      </c>
      <c r="D278" s="1" t="s">
        <v>15</v>
      </c>
      <c r="E278" s="2">
        <v>44997</v>
      </c>
      <c r="F278" s="1">
        <v>8</v>
      </c>
      <c r="G278" s="1">
        <v>1712</v>
      </c>
      <c r="H278" s="1" t="s">
        <v>16</v>
      </c>
      <c r="I278" s="1">
        <v>13696</v>
      </c>
      <c r="J278" t="str">
        <f t="shared" si="4"/>
        <v>March</v>
      </c>
    </row>
    <row r="279" spans="1:10" x14ac:dyDescent="0.25">
      <c r="A279" s="1">
        <v>1039</v>
      </c>
      <c r="B279" s="1" t="s">
        <v>13</v>
      </c>
      <c r="C279" s="1" t="s">
        <v>10</v>
      </c>
      <c r="D279" s="1" t="s">
        <v>11</v>
      </c>
      <c r="E279" s="2">
        <v>45516</v>
      </c>
      <c r="F279" s="1">
        <v>37</v>
      </c>
      <c r="G279" s="1">
        <v>38679</v>
      </c>
      <c r="H279" s="1" t="s">
        <v>16</v>
      </c>
      <c r="I279" s="1">
        <v>1431123</v>
      </c>
      <c r="J279" t="str">
        <f t="shared" si="4"/>
        <v>August</v>
      </c>
    </row>
    <row r="280" spans="1:10" x14ac:dyDescent="0.25">
      <c r="A280" s="1">
        <v>1004</v>
      </c>
      <c r="B280" s="1" t="s">
        <v>31</v>
      </c>
      <c r="C280" s="1" t="s">
        <v>10</v>
      </c>
      <c r="D280" s="1" t="s">
        <v>15</v>
      </c>
      <c r="E280" s="2">
        <v>45175</v>
      </c>
      <c r="F280" s="1">
        <v>28</v>
      </c>
      <c r="G280" s="1">
        <v>9549</v>
      </c>
      <c r="H280" s="1" t="s">
        <v>29</v>
      </c>
      <c r="I280" s="1">
        <v>267372</v>
      </c>
      <c r="J280" t="str">
        <f t="shared" si="4"/>
        <v>September</v>
      </c>
    </row>
    <row r="281" spans="1:10" x14ac:dyDescent="0.25">
      <c r="A281" s="1">
        <v>1049</v>
      </c>
      <c r="B281" s="1" t="s">
        <v>17</v>
      </c>
      <c r="C281" s="1" t="s">
        <v>10</v>
      </c>
      <c r="D281" s="1" t="s">
        <v>21</v>
      </c>
      <c r="E281" s="2">
        <v>45978</v>
      </c>
      <c r="F281" s="1">
        <v>14</v>
      </c>
      <c r="G281" s="1">
        <v>25488</v>
      </c>
      <c r="H281" s="1" t="s">
        <v>23</v>
      </c>
      <c r="I281" s="1">
        <v>356832</v>
      </c>
      <c r="J281" t="str">
        <f t="shared" si="4"/>
        <v>November</v>
      </c>
    </row>
    <row r="282" spans="1:10" x14ac:dyDescent="0.25">
      <c r="A282" s="1">
        <v>1037</v>
      </c>
      <c r="B282" s="1" t="s">
        <v>9</v>
      </c>
      <c r="C282" s="1" t="s">
        <v>10</v>
      </c>
      <c r="D282" s="1" t="s">
        <v>11</v>
      </c>
      <c r="E282" s="2">
        <v>44943</v>
      </c>
      <c r="F282" s="1">
        <v>45</v>
      </c>
      <c r="G282" s="1">
        <v>20233</v>
      </c>
      <c r="H282" s="1" t="s">
        <v>26</v>
      </c>
      <c r="I282" s="1">
        <v>910485</v>
      </c>
      <c r="J282" t="str">
        <f t="shared" si="4"/>
        <v>January</v>
      </c>
    </row>
    <row r="283" spans="1:10" x14ac:dyDescent="0.25">
      <c r="A283" s="1">
        <v>1010</v>
      </c>
      <c r="B283" s="1" t="s">
        <v>24</v>
      </c>
      <c r="C283" s="1" t="s">
        <v>10</v>
      </c>
      <c r="D283" s="1" t="s">
        <v>15</v>
      </c>
      <c r="E283" s="2">
        <v>45824</v>
      </c>
      <c r="F283" s="1">
        <v>2</v>
      </c>
      <c r="G283" s="1">
        <v>22281</v>
      </c>
      <c r="H283" s="1" t="s">
        <v>28</v>
      </c>
      <c r="I283" s="1">
        <v>44562</v>
      </c>
      <c r="J283" t="str">
        <f t="shared" si="4"/>
        <v>June</v>
      </c>
    </row>
    <row r="284" spans="1:10" x14ac:dyDescent="0.25">
      <c r="A284" s="1">
        <v>1010</v>
      </c>
      <c r="B284" s="1" t="s">
        <v>9</v>
      </c>
      <c r="C284" s="1" t="s">
        <v>14</v>
      </c>
      <c r="D284" s="1" t="s">
        <v>15</v>
      </c>
      <c r="E284" s="2">
        <v>45220</v>
      </c>
      <c r="F284" s="1">
        <v>29</v>
      </c>
      <c r="G284" s="1">
        <v>43035</v>
      </c>
      <c r="H284" s="1" t="s">
        <v>30</v>
      </c>
      <c r="I284" s="1">
        <v>1248015</v>
      </c>
      <c r="J284" t="str">
        <f t="shared" si="4"/>
        <v>October</v>
      </c>
    </row>
    <row r="285" spans="1:10" x14ac:dyDescent="0.25">
      <c r="A285" s="1">
        <v>1049</v>
      </c>
      <c r="B285" s="1" t="s">
        <v>22</v>
      </c>
      <c r="C285" s="1" t="s">
        <v>10</v>
      </c>
      <c r="D285" s="1" t="s">
        <v>15</v>
      </c>
      <c r="E285" s="2">
        <v>45807</v>
      </c>
      <c r="F285" s="1">
        <v>20</v>
      </c>
      <c r="G285" s="1">
        <v>6984</v>
      </c>
      <c r="H285" s="1" t="s">
        <v>29</v>
      </c>
      <c r="I285" s="1">
        <v>139680</v>
      </c>
      <c r="J285" t="str">
        <f t="shared" si="4"/>
        <v>May</v>
      </c>
    </row>
    <row r="286" spans="1:10" x14ac:dyDescent="0.25">
      <c r="A286" s="1">
        <v>1035</v>
      </c>
      <c r="B286" s="1" t="s">
        <v>24</v>
      </c>
      <c r="C286" s="1" t="s">
        <v>10</v>
      </c>
      <c r="D286" s="1" t="s">
        <v>21</v>
      </c>
      <c r="E286" s="2">
        <v>45118</v>
      </c>
      <c r="F286" s="1">
        <v>38</v>
      </c>
      <c r="G286" s="1">
        <v>6930</v>
      </c>
      <c r="H286" s="1" t="s">
        <v>12</v>
      </c>
      <c r="I286" s="1">
        <v>263340</v>
      </c>
      <c r="J286" t="str">
        <f t="shared" si="4"/>
        <v>July</v>
      </c>
    </row>
    <row r="287" spans="1:10" x14ac:dyDescent="0.25">
      <c r="A287" s="1">
        <v>1008</v>
      </c>
      <c r="B287" s="1" t="s">
        <v>17</v>
      </c>
      <c r="C287" s="1" t="s">
        <v>14</v>
      </c>
      <c r="D287" s="1" t="s">
        <v>18</v>
      </c>
      <c r="E287" s="2">
        <v>45815</v>
      </c>
      <c r="F287" s="1">
        <v>45</v>
      </c>
      <c r="G287" s="1">
        <v>29664</v>
      </c>
      <c r="H287" s="1" t="s">
        <v>16</v>
      </c>
      <c r="I287" s="1">
        <v>1334880</v>
      </c>
      <c r="J287" t="str">
        <f t="shared" si="4"/>
        <v>June</v>
      </c>
    </row>
    <row r="288" spans="1:10" x14ac:dyDescent="0.25">
      <c r="A288" s="1">
        <v>1023</v>
      </c>
      <c r="B288" s="1" t="s">
        <v>24</v>
      </c>
      <c r="C288" s="1" t="s">
        <v>14</v>
      </c>
      <c r="D288" s="1" t="s">
        <v>11</v>
      </c>
      <c r="E288" s="2">
        <v>45016</v>
      </c>
      <c r="F288" s="1">
        <v>6</v>
      </c>
      <c r="G288" s="1">
        <v>17718</v>
      </c>
      <c r="H288" s="1" t="s">
        <v>19</v>
      </c>
      <c r="I288" s="1">
        <v>106308</v>
      </c>
      <c r="J288" t="str">
        <f t="shared" si="4"/>
        <v>March</v>
      </c>
    </row>
    <row r="289" spans="1:10" x14ac:dyDescent="0.25">
      <c r="A289" s="1">
        <v>1049</v>
      </c>
      <c r="B289" s="1" t="s">
        <v>32</v>
      </c>
      <c r="C289" s="1" t="s">
        <v>14</v>
      </c>
      <c r="D289" s="1" t="s">
        <v>15</v>
      </c>
      <c r="E289" s="2">
        <v>45764</v>
      </c>
      <c r="F289" s="1">
        <v>12</v>
      </c>
      <c r="G289" s="1">
        <v>48467</v>
      </c>
      <c r="H289" s="1" t="s">
        <v>16</v>
      </c>
      <c r="I289" s="1">
        <v>581604</v>
      </c>
      <c r="J289" t="str">
        <f t="shared" si="4"/>
        <v>April</v>
      </c>
    </row>
    <row r="290" spans="1:10" x14ac:dyDescent="0.25">
      <c r="A290" s="1">
        <v>1007</v>
      </c>
      <c r="B290" s="1" t="s">
        <v>9</v>
      </c>
      <c r="C290" s="1" t="s">
        <v>10</v>
      </c>
      <c r="D290" s="1" t="s">
        <v>15</v>
      </c>
      <c r="E290" s="2">
        <v>45040</v>
      </c>
      <c r="F290" s="1">
        <v>47</v>
      </c>
      <c r="G290" s="1">
        <v>7735</v>
      </c>
      <c r="H290" s="1" t="s">
        <v>28</v>
      </c>
      <c r="I290" s="1">
        <v>363545</v>
      </c>
      <c r="J290" t="str">
        <f t="shared" si="4"/>
        <v>April</v>
      </c>
    </row>
    <row r="291" spans="1:10" x14ac:dyDescent="0.25">
      <c r="A291" s="1">
        <v>1002</v>
      </c>
      <c r="B291" s="1" t="s">
        <v>22</v>
      </c>
      <c r="C291" s="1" t="s">
        <v>14</v>
      </c>
      <c r="D291" s="1" t="s">
        <v>11</v>
      </c>
      <c r="E291" s="2">
        <v>45325</v>
      </c>
      <c r="F291" s="1">
        <v>16</v>
      </c>
      <c r="G291" s="1">
        <v>27305</v>
      </c>
      <c r="H291" s="1" t="s">
        <v>12</v>
      </c>
      <c r="I291" s="1">
        <v>436880</v>
      </c>
      <c r="J291" t="str">
        <f t="shared" si="4"/>
        <v>February</v>
      </c>
    </row>
    <row r="292" spans="1:10" x14ac:dyDescent="0.25">
      <c r="A292" s="1">
        <v>1038</v>
      </c>
      <c r="B292" s="1" t="s">
        <v>17</v>
      </c>
      <c r="C292" s="1" t="s">
        <v>10</v>
      </c>
      <c r="D292" s="1" t="s">
        <v>11</v>
      </c>
      <c r="E292" s="2">
        <v>45016</v>
      </c>
      <c r="F292" s="1">
        <v>46</v>
      </c>
      <c r="G292" s="1">
        <v>41999</v>
      </c>
      <c r="H292" s="1" t="s">
        <v>19</v>
      </c>
      <c r="I292" s="1">
        <v>1931954</v>
      </c>
      <c r="J292" t="str">
        <f t="shared" si="4"/>
        <v>March</v>
      </c>
    </row>
    <row r="293" spans="1:10" x14ac:dyDescent="0.25">
      <c r="A293" s="1">
        <v>1020</v>
      </c>
      <c r="B293" s="1" t="s">
        <v>24</v>
      </c>
      <c r="C293" s="1" t="s">
        <v>10</v>
      </c>
      <c r="D293" s="1" t="s">
        <v>21</v>
      </c>
      <c r="E293" s="2">
        <v>45723</v>
      </c>
      <c r="F293" s="1">
        <v>2</v>
      </c>
      <c r="G293" s="1">
        <v>29884</v>
      </c>
      <c r="H293" s="1" t="s">
        <v>29</v>
      </c>
      <c r="I293" s="1">
        <v>59768</v>
      </c>
      <c r="J293" t="str">
        <f t="shared" si="4"/>
        <v>March</v>
      </c>
    </row>
    <row r="294" spans="1:10" x14ac:dyDescent="0.25">
      <c r="A294" s="1">
        <v>1031</v>
      </c>
      <c r="B294" s="1" t="s">
        <v>20</v>
      </c>
      <c r="C294" s="1" t="s">
        <v>10</v>
      </c>
      <c r="D294" s="1" t="s">
        <v>18</v>
      </c>
      <c r="E294" s="2">
        <v>45504</v>
      </c>
      <c r="F294" s="1">
        <v>40</v>
      </c>
      <c r="G294" s="1">
        <v>27577</v>
      </c>
      <c r="H294" s="1" t="s">
        <v>26</v>
      </c>
      <c r="I294" s="1">
        <v>1103080</v>
      </c>
      <c r="J294" t="str">
        <f t="shared" si="4"/>
        <v>July</v>
      </c>
    </row>
    <row r="295" spans="1:10" x14ac:dyDescent="0.25">
      <c r="A295" s="1">
        <v>1030</v>
      </c>
      <c r="B295" s="1" t="s">
        <v>17</v>
      </c>
      <c r="C295" s="1" t="s">
        <v>10</v>
      </c>
      <c r="D295" s="1" t="s">
        <v>15</v>
      </c>
      <c r="E295" s="2">
        <v>45467</v>
      </c>
      <c r="F295" s="1">
        <v>5</v>
      </c>
      <c r="G295" s="1">
        <v>6619</v>
      </c>
      <c r="H295" s="1" t="s">
        <v>28</v>
      </c>
      <c r="I295" s="1">
        <v>33095</v>
      </c>
      <c r="J295" t="str">
        <f t="shared" si="4"/>
        <v>June</v>
      </c>
    </row>
    <row r="296" spans="1:10" x14ac:dyDescent="0.25">
      <c r="A296" s="1">
        <v>1048</v>
      </c>
      <c r="B296" s="1" t="s">
        <v>13</v>
      </c>
      <c r="C296" s="1" t="s">
        <v>10</v>
      </c>
      <c r="D296" s="1" t="s">
        <v>11</v>
      </c>
      <c r="E296" s="2">
        <v>45959</v>
      </c>
      <c r="F296" s="1">
        <v>47</v>
      </c>
      <c r="G296" s="1">
        <v>37896</v>
      </c>
      <c r="H296" s="1" t="s">
        <v>28</v>
      </c>
      <c r="I296" s="1">
        <v>1781112</v>
      </c>
      <c r="J296" t="str">
        <f t="shared" si="4"/>
        <v>October</v>
      </c>
    </row>
    <row r="297" spans="1:10" x14ac:dyDescent="0.25">
      <c r="A297" s="1">
        <v>1025</v>
      </c>
      <c r="B297" s="1" t="s">
        <v>20</v>
      </c>
      <c r="C297" s="1" t="s">
        <v>14</v>
      </c>
      <c r="D297" s="1" t="s">
        <v>18</v>
      </c>
      <c r="E297" s="2">
        <v>45735</v>
      </c>
      <c r="F297" s="1">
        <v>20</v>
      </c>
      <c r="G297" s="1">
        <v>33576</v>
      </c>
      <c r="H297" s="1" t="s">
        <v>28</v>
      </c>
      <c r="I297" s="1">
        <v>671520</v>
      </c>
      <c r="J297" t="str">
        <f t="shared" si="4"/>
        <v>March</v>
      </c>
    </row>
    <row r="298" spans="1:10" x14ac:dyDescent="0.25">
      <c r="A298" s="1">
        <v>1010</v>
      </c>
      <c r="B298" s="1" t="s">
        <v>20</v>
      </c>
      <c r="C298" s="1" t="s">
        <v>10</v>
      </c>
      <c r="D298" s="1" t="s">
        <v>18</v>
      </c>
      <c r="E298" s="2">
        <v>45971</v>
      </c>
      <c r="F298" s="1">
        <v>12</v>
      </c>
      <c r="G298" s="1">
        <v>24539</v>
      </c>
      <c r="H298" s="1" t="s">
        <v>23</v>
      </c>
      <c r="I298" s="1">
        <v>294468</v>
      </c>
      <c r="J298" t="str">
        <f t="shared" si="4"/>
        <v>November</v>
      </c>
    </row>
    <row r="299" spans="1:10" x14ac:dyDescent="0.25">
      <c r="A299" s="1">
        <v>1017</v>
      </c>
      <c r="B299" s="1" t="s">
        <v>31</v>
      </c>
      <c r="C299" s="1" t="s">
        <v>10</v>
      </c>
      <c r="D299" s="1" t="s">
        <v>18</v>
      </c>
      <c r="E299" s="2">
        <v>45365</v>
      </c>
      <c r="F299" s="1">
        <v>48</v>
      </c>
      <c r="G299" s="1">
        <v>31708</v>
      </c>
      <c r="H299" s="1" t="s">
        <v>16</v>
      </c>
      <c r="I299" s="1">
        <v>1521984</v>
      </c>
      <c r="J299" t="str">
        <f t="shared" si="4"/>
        <v>March</v>
      </c>
    </row>
    <row r="300" spans="1:10" x14ac:dyDescent="0.25">
      <c r="A300" s="1">
        <v>1009</v>
      </c>
      <c r="B300" s="1" t="s">
        <v>24</v>
      </c>
      <c r="C300" s="1" t="s">
        <v>14</v>
      </c>
      <c r="D300" s="1" t="s">
        <v>18</v>
      </c>
      <c r="E300" s="2">
        <v>45534</v>
      </c>
      <c r="F300" s="1">
        <v>16</v>
      </c>
      <c r="G300" s="1">
        <v>41583</v>
      </c>
      <c r="H300" s="1" t="s">
        <v>26</v>
      </c>
      <c r="I300" s="1">
        <v>665328</v>
      </c>
      <c r="J300" t="str">
        <f t="shared" si="4"/>
        <v>August</v>
      </c>
    </row>
    <row r="301" spans="1:10" x14ac:dyDescent="0.25">
      <c r="A301" s="1">
        <v>1043</v>
      </c>
      <c r="B301" s="1" t="s">
        <v>27</v>
      </c>
      <c r="C301" s="1" t="s">
        <v>14</v>
      </c>
      <c r="D301" s="1" t="s">
        <v>15</v>
      </c>
      <c r="E301" s="2">
        <v>45674</v>
      </c>
      <c r="F301" s="1">
        <v>30</v>
      </c>
      <c r="G301" s="1">
        <v>48743</v>
      </c>
      <c r="H301" s="1" t="s">
        <v>23</v>
      </c>
      <c r="I301" s="1">
        <v>1462290</v>
      </c>
      <c r="J301" t="str">
        <f t="shared" si="4"/>
        <v>January</v>
      </c>
    </row>
    <row r="302" spans="1:10" x14ac:dyDescent="0.25">
      <c r="A302" s="1">
        <v>1032</v>
      </c>
      <c r="B302" s="1" t="s">
        <v>9</v>
      </c>
      <c r="C302" s="1" t="s">
        <v>14</v>
      </c>
      <c r="D302" s="1" t="s">
        <v>18</v>
      </c>
      <c r="E302" s="2">
        <v>45478</v>
      </c>
      <c r="F302" s="1">
        <v>20</v>
      </c>
      <c r="G302" s="1">
        <v>17187</v>
      </c>
      <c r="H302" s="1" t="s">
        <v>19</v>
      </c>
      <c r="I302" s="1">
        <v>343740</v>
      </c>
      <c r="J302" t="str">
        <f t="shared" si="4"/>
        <v>July</v>
      </c>
    </row>
    <row r="303" spans="1:10" x14ac:dyDescent="0.25">
      <c r="A303" s="1">
        <v>1024</v>
      </c>
      <c r="B303" s="1" t="s">
        <v>9</v>
      </c>
      <c r="C303" s="1" t="s">
        <v>14</v>
      </c>
      <c r="D303" s="1" t="s">
        <v>15</v>
      </c>
      <c r="E303" s="2">
        <v>45208</v>
      </c>
      <c r="F303" s="1">
        <v>21</v>
      </c>
      <c r="G303" s="1">
        <v>45179</v>
      </c>
      <c r="H303" s="1" t="s">
        <v>28</v>
      </c>
      <c r="I303" s="1">
        <v>948759</v>
      </c>
      <c r="J303" t="str">
        <f t="shared" si="4"/>
        <v>October</v>
      </c>
    </row>
    <row r="304" spans="1:10" x14ac:dyDescent="0.25">
      <c r="A304" s="1">
        <v>1016</v>
      </c>
      <c r="B304" s="1" t="s">
        <v>17</v>
      </c>
      <c r="C304" s="1" t="s">
        <v>14</v>
      </c>
      <c r="D304" s="1" t="s">
        <v>11</v>
      </c>
      <c r="E304" s="2">
        <v>45614</v>
      </c>
      <c r="F304" s="1">
        <v>6</v>
      </c>
      <c r="G304" s="1">
        <v>37121</v>
      </c>
      <c r="H304" s="1" t="s">
        <v>29</v>
      </c>
      <c r="I304" s="1">
        <v>222726</v>
      </c>
      <c r="J304" t="str">
        <f t="shared" si="4"/>
        <v>November</v>
      </c>
    </row>
    <row r="305" spans="1:10" x14ac:dyDescent="0.25">
      <c r="A305" s="1">
        <v>1046</v>
      </c>
      <c r="B305" s="1" t="s">
        <v>20</v>
      </c>
      <c r="C305" s="1" t="s">
        <v>10</v>
      </c>
      <c r="D305" s="1" t="s">
        <v>15</v>
      </c>
      <c r="E305" s="2">
        <v>45052</v>
      </c>
      <c r="F305" s="1">
        <v>9</v>
      </c>
      <c r="G305" s="1">
        <v>1595</v>
      </c>
      <c r="H305" s="1" t="s">
        <v>19</v>
      </c>
      <c r="I305" s="1">
        <v>14355</v>
      </c>
      <c r="J305" t="str">
        <f t="shared" si="4"/>
        <v>May</v>
      </c>
    </row>
    <row r="306" spans="1:10" x14ac:dyDescent="0.25">
      <c r="A306" s="1">
        <v>1012</v>
      </c>
      <c r="B306" s="1" t="s">
        <v>22</v>
      </c>
      <c r="C306" s="1" t="s">
        <v>10</v>
      </c>
      <c r="D306" s="1" t="s">
        <v>18</v>
      </c>
      <c r="E306" s="2">
        <v>45643</v>
      </c>
      <c r="F306" s="1">
        <v>3</v>
      </c>
      <c r="G306" s="1">
        <v>14486</v>
      </c>
      <c r="H306" s="1" t="s">
        <v>12</v>
      </c>
      <c r="I306" s="1">
        <v>43458</v>
      </c>
      <c r="J306" t="str">
        <f t="shared" si="4"/>
        <v>December</v>
      </c>
    </row>
    <row r="307" spans="1:10" x14ac:dyDescent="0.25">
      <c r="A307" s="1">
        <v>1035</v>
      </c>
      <c r="B307" s="1" t="s">
        <v>32</v>
      </c>
      <c r="C307" s="1" t="s">
        <v>10</v>
      </c>
      <c r="D307" s="1" t="s">
        <v>11</v>
      </c>
      <c r="E307" s="2">
        <v>45471</v>
      </c>
      <c r="F307" s="1">
        <v>20</v>
      </c>
      <c r="G307" s="1">
        <v>17991</v>
      </c>
      <c r="H307" s="1" t="s">
        <v>16</v>
      </c>
      <c r="I307" s="1">
        <v>359820</v>
      </c>
      <c r="J307" t="str">
        <f t="shared" si="4"/>
        <v>June</v>
      </c>
    </row>
    <row r="308" spans="1:10" x14ac:dyDescent="0.25">
      <c r="A308" s="1">
        <v>1043</v>
      </c>
      <c r="B308" s="1" t="s">
        <v>31</v>
      </c>
      <c r="C308" s="1" t="s">
        <v>10</v>
      </c>
      <c r="D308" s="1" t="s">
        <v>15</v>
      </c>
      <c r="E308" s="2">
        <v>45796</v>
      </c>
      <c r="F308" s="1">
        <v>48</v>
      </c>
      <c r="G308" s="1">
        <v>46574</v>
      </c>
      <c r="H308" s="1" t="s">
        <v>23</v>
      </c>
      <c r="I308" s="1">
        <v>2235552</v>
      </c>
      <c r="J308" t="str">
        <f t="shared" si="4"/>
        <v>May</v>
      </c>
    </row>
    <row r="309" spans="1:10" x14ac:dyDescent="0.25">
      <c r="A309" s="1">
        <v>1047</v>
      </c>
      <c r="B309" s="1" t="s">
        <v>9</v>
      </c>
      <c r="C309" s="1" t="s">
        <v>14</v>
      </c>
      <c r="D309" s="1" t="s">
        <v>15</v>
      </c>
      <c r="E309" s="2">
        <v>45630</v>
      </c>
      <c r="F309" s="1">
        <v>33</v>
      </c>
      <c r="G309" s="1">
        <v>36085</v>
      </c>
      <c r="H309" s="1" t="s">
        <v>29</v>
      </c>
      <c r="I309" s="1">
        <v>1190805</v>
      </c>
      <c r="J309" t="str">
        <f t="shared" si="4"/>
        <v>December</v>
      </c>
    </row>
    <row r="310" spans="1:10" x14ac:dyDescent="0.25">
      <c r="A310" s="1">
        <v>1046</v>
      </c>
      <c r="B310" s="1" t="s">
        <v>24</v>
      </c>
      <c r="C310" s="1" t="s">
        <v>10</v>
      </c>
      <c r="D310" s="1" t="s">
        <v>11</v>
      </c>
      <c r="E310" s="2">
        <v>45657</v>
      </c>
      <c r="F310" s="1">
        <v>37</v>
      </c>
      <c r="G310" s="1">
        <v>14895</v>
      </c>
      <c r="H310" s="1" t="s">
        <v>12</v>
      </c>
      <c r="I310" s="1">
        <v>551115</v>
      </c>
      <c r="J310" t="str">
        <f t="shared" si="4"/>
        <v>December</v>
      </c>
    </row>
    <row r="311" spans="1:10" x14ac:dyDescent="0.25">
      <c r="A311" s="1">
        <v>1017</v>
      </c>
      <c r="B311" s="1" t="s">
        <v>9</v>
      </c>
      <c r="C311" s="1" t="s">
        <v>14</v>
      </c>
      <c r="D311" s="1" t="s">
        <v>15</v>
      </c>
      <c r="E311" s="2">
        <v>45158</v>
      </c>
      <c r="F311" s="1">
        <v>17</v>
      </c>
      <c r="G311" s="1">
        <v>19139</v>
      </c>
      <c r="H311" s="1" t="s">
        <v>16</v>
      </c>
      <c r="I311" s="1">
        <v>325363</v>
      </c>
      <c r="J311" t="str">
        <f t="shared" si="4"/>
        <v>August</v>
      </c>
    </row>
    <row r="312" spans="1:10" x14ac:dyDescent="0.25">
      <c r="A312" s="1">
        <v>1029</v>
      </c>
      <c r="B312" s="1" t="s">
        <v>31</v>
      </c>
      <c r="C312" s="1" t="s">
        <v>10</v>
      </c>
      <c r="D312" s="1" t="s">
        <v>21</v>
      </c>
      <c r="E312" s="2">
        <v>45842</v>
      </c>
      <c r="F312" s="1">
        <v>48</v>
      </c>
      <c r="G312" s="1">
        <v>10745</v>
      </c>
      <c r="H312" s="1" t="s">
        <v>19</v>
      </c>
      <c r="I312" s="1">
        <v>515760</v>
      </c>
      <c r="J312" t="str">
        <f t="shared" si="4"/>
        <v>July</v>
      </c>
    </row>
    <row r="313" spans="1:10" x14ac:dyDescent="0.25">
      <c r="A313" s="1">
        <v>1036</v>
      </c>
      <c r="B313" s="1" t="s">
        <v>32</v>
      </c>
      <c r="C313" s="1" t="s">
        <v>14</v>
      </c>
      <c r="D313" s="1" t="s">
        <v>18</v>
      </c>
      <c r="E313" s="2">
        <v>45596</v>
      </c>
      <c r="F313" s="1">
        <v>41</v>
      </c>
      <c r="G313" s="1">
        <v>8942</v>
      </c>
      <c r="H313" s="1" t="s">
        <v>23</v>
      </c>
      <c r="I313" s="1">
        <v>366622</v>
      </c>
      <c r="J313" t="str">
        <f t="shared" si="4"/>
        <v>October</v>
      </c>
    </row>
    <row r="314" spans="1:10" x14ac:dyDescent="0.25">
      <c r="A314" s="1">
        <v>1035</v>
      </c>
      <c r="B314" s="1" t="s">
        <v>27</v>
      </c>
      <c r="C314" s="1" t="s">
        <v>10</v>
      </c>
      <c r="D314" s="1" t="s">
        <v>11</v>
      </c>
      <c r="E314" s="2">
        <v>45717</v>
      </c>
      <c r="F314" s="1">
        <v>49</v>
      </c>
      <c r="G314" s="1">
        <v>47167</v>
      </c>
      <c r="H314" s="1" t="s">
        <v>26</v>
      </c>
      <c r="I314" s="1">
        <v>2311183</v>
      </c>
      <c r="J314" t="str">
        <f t="shared" si="4"/>
        <v>March</v>
      </c>
    </row>
    <row r="315" spans="1:10" x14ac:dyDescent="0.25">
      <c r="A315" s="1">
        <v>1004</v>
      </c>
      <c r="B315" s="1" t="s">
        <v>17</v>
      </c>
      <c r="C315" s="1" t="s">
        <v>14</v>
      </c>
      <c r="D315" s="1" t="s">
        <v>18</v>
      </c>
      <c r="E315" s="2">
        <v>46000</v>
      </c>
      <c r="F315" s="1">
        <v>15</v>
      </c>
      <c r="G315" s="1">
        <v>44161</v>
      </c>
      <c r="H315" s="1" t="s">
        <v>29</v>
      </c>
      <c r="I315" s="1">
        <v>662415</v>
      </c>
      <c r="J315" t="str">
        <f t="shared" si="4"/>
        <v>December</v>
      </c>
    </row>
    <row r="316" spans="1:10" x14ac:dyDescent="0.25">
      <c r="A316" s="1">
        <v>1007</v>
      </c>
      <c r="B316" s="1" t="s">
        <v>13</v>
      </c>
      <c r="C316" s="1" t="s">
        <v>10</v>
      </c>
      <c r="D316" s="1" t="s">
        <v>21</v>
      </c>
      <c r="E316" s="2">
        <v>45436</v>
      </c>
      <c r="F316" s="1">
        <v>19</v>
      </c>
      <c r="G316" s="1">
        <v>42466</v>
      </c>
      <c r="H316" s="1" t="s">
        <v>12</v>
      </c>
      <c r="I316" s="1">
        <v>806854</v>
      </c>
      <c r="J316" t="str">
        <f t="shared" si="4"/>
        <v>May</v>
      </c>
    </row>
    <row r="317" spans="1:10" x14ac:dyDescent="0.25">
      <c r="A317" s="1">
        <v>1019</v>
      </c>
      <c r="B317" s="1" t="s">
        <v>13</v>
      </c>
      <c r="C317" s="1" t="s">
        <v>14</v>
      </c>
      <c r="D317" s="1" t="s">
        <v>11</v>
      </c>
      <c r="E317" s="2">
        <v>45329</v>
      </c>
      <c r="F317" s="1">
        <v>13</v>
      </c>
      <c r="G317" s="1">
        <v>36735</v>
      </c>
      <c r="H317" s="1" t="s">
        <v>19</v>
      </c>
      <c r="I317" s="1">
        <v>477555</v>
      </c>
      <c r="J317" t="str">
        <f t="shared" si="4"/>
        <v>February</v>
      </c>
    </row>
    <row r="318" spans="1:10" x14ac:dyDescent="0.25">
      <c r="A318" s="1">
        <v>1047</v>
      </c>
      <c r="B318" s="1" t="s">
        <v>27</v>
      </c>
      <c r="C318" s="1" t="s">
        <v>10</v>
      </c>
      <c r="D318" s="1" t="s">
        <v>18</v>
      </c>
      <c r="E318" s="2">
        <v>45346</v>
      </c>
      <c r="F318" s="1">
        <v>23</v>
      </c>
      <c r="G318" s="1">
        <v>23093</v>
      </c>
      <c r="H318" s="1" t="s">
        <v>26</v>
      </c>
      <c r="I318" s="1">
        <v>531139</v>
      </c>
      <c r="J318" t="str">
        <f t="shared" si="4"/>
        <v>February</v>
      </c>
    </row>
    <row r="319" spans="1:10" x14ac:dyDescent="0.25">
      <c r="A319" s="1">
        <v>1028</v>
      </c>
      <c r="B319" s="1" t="s">
        <v>25</v>
      </c>
      <c r="C319" s="1" t="s">
        <v>14</v>
      </c>
      <c r="D319" s="1" t="s">
        <v>15</v>
      </c>
      <c r="E319" s="2">
        <v>45849</v>
      </c>
      <c r="F319" s="1">
        <v>44</v>
      </c>
      <c r="G319" s="1">
        <v>11745</v>
      </c>
      <c r="H319" s="1" t="s">
        <v>23</v>
      </c>
      <c r="I319" s="1">
        <v>516780</v>
      </c>
      <c r="J319" t="str">
        <f t="shared" si="4"/>
        <v>July</v>
      </c>
    </row>
    <row r="320" spans="1:10" x14ac:dyDescent="0.25">
      <c r="A320" s="1">
        <v>1041</v>
      </c>
      <c r="B320" s="1" t="s">
        <v>13</v>
      </c>
      <c r="C320" s="1" t="s">
        <v>14</v>
      </c>
      <c r="D320" s="1" t="s">
        <v>21</v>
      </c>
      <c r="E320" s="2">
        <v>45672</v>
      </c>
      <c r="F320" s="1">
        <v>24</v>
      </c>
      <c r="G320" s="1">
        <v>25541</v>
      </c>
      <c r="H320" s="1" t="s">
        <v>30</v>
      </c>
      <c r="I320" s="1">
        <v>612984</v>
      </c>
      <c r="J320" t="str">
        <f t="shared" si="4"/>
        <v>January</v>
      </c>
    </row>
    <row r="321" spans="1:10" x14ac:dyDescent="0.25">
      <c r="A321" s="1">
        <v>1022</v>
      </c>
      <c r="B321" s="1" t="s">
        <v>20</v>
      </c>
      <c r="C321" s="1" t="s">
        <v>14</v>
      </c>
      <c r="D321" s="1" t="s">
        <v>11</v>
      </c>
      <c r="E321" s="2">
        <v>45274</v>
      </c>
      <c r="F321" s="1">
        <v>24</v>
      </c>
      <c r="G321" s="1">
        <v>17169</v>
      </c>
      <c r="H321" s="1" t="s">
        <v>12</v>
      </c>
      <c r="I321" s="1">
        <v>412056</v>
      </c>
      <c r="J321" t="str">
        <f t="shared" si="4"/>
        <v>December</v>
      </c>
    </row>
    <row r="322" spans="1:10" x14ac:dyDescent="0.25">
      <c r="A322" s="1">
        <v>1021</v>
      </c>
      <c r="B322" s="1" t="s">
        <v>22</v>
      </c>
      <c r="C322" s="1" t="s">
        <v>10</v>
      </c>
      <c r="D322" s="1" t="s">
        <v>21</v>
      </c>
      <c r="E322" s="2">
        <v>46022</v>
      </c>
      <c r="F322" s="1">
        <v>27</v>
      </c>
      <c r="G322" s="1">
        <v>4226</v>
      </c>
      <c r="H322" s="1" t="s">
        <v>26</v>
      </c>
      <c r="I322" s="1">
        <v>114102</v>
      </c>
      <c r="J322" t="str">
        <f t="shared" si="4"/>
        <v>December</v>
      </c>
    </row>
    <row r="323" spans="1:10" x14ac:dyDescent="0.25">
      <c r="A323" s="1">
        <v>1005</v>
      </c>
      <c r="B323" s="1" t="s">
        <v>27</v>
      </c>
      <c r="C323" s="1" t="s">
        <v>14</v>
      </c>
      <c r="D323" s="1" t="s">
        <v>15</v>
      </c>
      <c r="E323" s="2">
        <v>45032</v>
      </c>
      <c r="F323" s="1">
        <v>23</v>
      </c>
      <c r="G323" s="1">
        <v>27480</v>
      </c>
      <c r="H323" s="1" t="s">
        <v>30</v>
      </c>
      <c r="I323" s="1">
        <v>632040</v>
      </c>
      <c r="J323" t="str">
        <f t="shared" ref="J323:J386" si="5">TEXT(E323,"mmmm")</f>
        <v>April</v>
      </c>
    </row>
    <row r="324" spans="1:10" x14ac:dyDescent="0.25">
      <c r="A324" s="1">
        <v>1045</v>
      </c>
      <c r="B324" s="1" t="s">
        <v>17</v>
      </c>
      <c r="C324" s="1" t="s">
        <v>10</v>
      </c>
      <c r="D324" s="1" t="s">
        <v>15</v>
      </c>
      <c r="E324" s="2">
        <v>45422</v>
      </c>
      <c r="F324" s="1">
        <v>12</v>
      </c>
      <c r="G324" s="1">
        <v>11901</v>
      </c>
      <c r="H324" s="1" t="s">
        <v>28</v>
      </c>
      <c r="I324" s="1">
        <v>142812</v>
      </c>
      <c r="J324" t="str">
        <f t="shared" si="5"/>
        <v>May</v>
      </c>
    </row>
    <row r="325" spans="1:10" x14ac:dyDescent="0.25">
      <c r="A325" s="1">
        <v>1049</v>
      </c>
      <c r="B325" s="1" t="s">
        <v>31</v>
      </c>
      <c r="C325" s="1" t="s">
        <v>14</v>
      </c>
      <c r="D325" s="1" t="s">
        <v>11</v>
      </c>
      <c r="E325" s="2">
        <v>45587</v>
      </c>
      <c r="F325" s="1">
        <v>11</v>
      </c>
      <c r="G325" s="1">
        <v>48835</v>
      </c>
      <c r="H325" s="1" t="s">
        <v>28</v>
      </c>
      <c r="I325" s="1">
        <v>537185</v>
      </c>
      <c r="J325" t="str">
        <f t="shared" si="5"/>
        <v>October</v>
      </c>
    </row>
    <row r="326" spans="1:10" x14ac:dyDescent="0.25">
      <c r="A326" s="1">
        <v>1032</v>
      </c>
      <c r="B326" s="1" t="s">
        <v>20</v>
      </c>
      <c r="C326" s="1" t="s">
        <v>14</v>
      </c>
      <c r="D326" s="1" t="s">
        <v>11</v>
      </c>
      <c r="E326" s="2">
        <v>45579</v>
      </c>
      <c r="F326" s="1">
        <v>8</v>
      </c>
      <c r="G326" s="1">
        <v>2030</v>
      </c>
      <c r="H326" s="1" t="s">
        <v>16</v>
      </c>
      <c r="I326" s="1">
        <v>16240</v>
      </c>
      <c r="J326" t="str">
        <f t="shared" si="5"/>
        <v>October</v>
      </c>
    </row>
    <row r="327" spans="1:10" x14ac:dyDescent="0.25">
      <c r="A327" s="1">
        <v>1001</v>
      </c>
      <c r="B327" s="1" t="s">
        <v>27</v>
      </c>
      <c r="C327" s="1" t="s">
        <v>10</v>
      </c>
      <c r="D327" s="1" t="s">
        <v>21</v>
      </c>
      <c r="E327" s="2">
        <v>45721</v>
      </c>
      <c r="F327" s="1">
        <v>24</v>
      </c>
      <c r="G327" s="1">
        <v>36949</v>
      </c>
      <c r="H327" s="1" t="s">
        <v>23</v>
      </c>
      <c r="I327" s="1">
        <v>886776</v>
      </c>
      <c r="J327" t="str">
        <f t="shared" si="5"/>
        <v>March</v>
      </c>
    </row>
    <row r="328" spans="1:10" x14ac:dyDescent="0.25">
      <c r="A328" s="1">
        <v>1020</v>
      </c>
      <c r="B328" s="1" t="s">
        <v>25</v>
      </c>
      <c r="C328" s="1" t="s">
        <v>10</v>
      </c>
      <c r="D328" s="1" t="s">
        <v>11</v>
      </c>
      <c r="E328" s="2">
        <v>45222</v>
      </c>
      <c r="F328" s="1">
        <v>41</v>
      </c>
      <c r="G328" s="1">
        <v>49164</v>
      </c>
      <c r="H328" s="1" t="s">
        <v>28</v>
      </c>
      <c r="I328" s="1">
        <v>2015724</v>
      </c>
      <c r="J328" t="str">
        <f t="shared" si="5"/>
        <v>October</v>
      </c>
    </row>
    <row r="329" spans="1:10" x14ac:dyDescent="0.25">
      <c r="A329" s="1">
        <v>1028</v>
      </c>
      <c r="B329" s="1" t="s">
        <v>13</v>
      </c>
      <c r="C329" s="1" t="s">
        <v>14</v>
      </c>
      <c r="D329" s="1" t="s">
        <v>18</v>
      </c>
      <c r="E329" s="2">
        <v>45646</v>
      </c>
      <c r="F329" s="1">
        <v>10</v>
      </c>
      <c r="G329" s="1">
        <v>26301</v>
      </c>
      <c r="H329" s="1" t="s">
        <v>23</v>
      </c>
      <c r="I329" s="1">
        <v>263010</v>
      </c>
      <c r="J329" t="str">
        <f t="shared" si="5"/>
        <v>December</v>
      </c>
    </row>
    <row r="330" spans="1:10" x14ac:dyDescent="0.25">
      <c r="A330" s="1">
        <v>1044</v>
      </c>
      <c r="B330" s="1" t="s">
        <v>32</v>
      </c>
      <c r="C330" s="1" t="s">
        <v>10</v>
      </c>
      <c r="D330" s="1" t="s">
        <v>21</v>
      </c>
      <c r="E330" s="2">
        <v>45222</v>
      </c>
      <c r="F330" s="1">
        <v>24</v>
      </c>
      <c r="G330" s="1">
        <v>48292</v>
      </c>
      <c r="H330" s="1" t="s">
        <v>23</v>
      </c>
      <c r="I330" s="1">
        <v>1159008</v>
      </c>
      <c r="J330" t="str">
        <f t="shared" si="5"/>
        <v>October</v>
      </c>
    </row>
    <row r="331" spans="1:10" x14ac:dyDescent="0.25">
      <c r="A331" s="1">
        <v>1048</v>
      </c>
      <c r="B331" s="1" t="s">
        <v>17</v>
      </c>
      <c r="C331" s="1" t="s">
        <v>10</v>
      </c>
      <c r="D331" s="1" t="s">
        <v>18</v>
      </c>
      <c r="E331" s="2">
        <v>45053</v>
      </c>
      <c r="F331" s="1">
        <v>11</v>
      </c>
      <c r="G331" s="1">
        <v>20351</v>
      </c>
      <c r="H331" s="1" t="s">
        <v>12</v>
      </c>
      <c r="I331" s="1">
        <v>223861</v>
      </c>
      <c r="J331" t="str">
        <f t="shared" si="5"/>
        <v>May</v>
      </c>
    </row>
    <row r="332" spans="1:10" x14ac:dyDescent="0.25">
      <c r="A332" s="1">
        <v>1037</v>
      </c>
      <c r="B332" s="1" t="s">
        <v>13</v>
      </c>
      <c r="C332" s="1" t="s">
        <v>14</v>
      </c>
      <c r="D332" s="1" t="s">
        <v>21</v>
      </c>
      <c r="E332" s="2">
        <v>45191</v>
      </c>
      <c r="F332" s="1">
        <v>33</v>
      </c>
      <c r="G332" s="1">
        <v>5321</v>
      </c>
      <c r="H332" s="1" t="s">
        <v>23</v>
      </c>
      <c r="I332" s="1">
        <v>175593</v>
      </c>
      <c r="J332" t="str">
        <f t="shared" si="5"/>
        <v>September</v>
      </c>
    </row>
    <row r="333" spans="1:10" x14ac:dyDescent="0.25">
      <c r="A333" s="1">
        <v>1012</v>
      </c>
      <c r="B333" s="1" t="s">
        <v>13</v>
      </c>
      <c r="C333" s="1" t="s">
        <v>14</v>
      </c>
      <c r="D333" s="1" t="s">
        <v>11</v>
      </c>
      <c r="E333" s="2">
        <v>45647</v>
      </c>
      <c r="F333" s="1">
        <v>29</v>
      </c>
      <c r="G333" s="1">
        <v>4700</v>
      </c>
      <c r="H333" s="1" t="s">
        <v>29</v>
      </c>
      <c r="I333" s="1">
        <v>136300</v>
      </c>
      <c r="J333" t="str">
        <f t="shared" si="5"/>
        <v>December</v>
      </c>
    </row>
    <row r="334" spans="1:10" x14ac:dyDescent="0.25">
      <c r="A334" s="1">
        <v>1018</v>
      </c>
      <c r="B334" s="1" t="s">
        <v>13</v>
      </c>
      <c r="C334" s="1" t="s">
        <v>10</v>
      </c>
      <c r="D334" s="1" t="s">
        <v>15</v>
      </c>
      <c r="E334" s="2">
        <v>45750</v>
      </c>
      <c r="F334" s="1">
        <v>13</v>
      </c>
      <c r="G334" s="1">
        <v>31118</v>
      </c>
      <c r="H334" s="1" t="s">
        <v>23</v>
      </c>
      <c r="I334" s="1">
        <v>404534</v>
      </c>
      <c r="J334" t="str">
        <f t="shared" si="5"/>
        <v>April</v>
      </c>
    </row>
    <row r="335" spans="1:10" x14ac:dyDescent="0.25">
      <c r="A335" s="1">
        <v>1045</v>
      </c>
      <c r="B335" s="1" t="s">
        <v>17</v>
      </c>
      <c r="C335" s="1" t="s">
        <v>10</v>
      </c>
      <c r="D335" s="1" t="s">
        <v>15</v>
      </c>
      <c r="E335" s="2">
        <v>45107</v>
      </c>
      <c r="F335" s="1">
        <v>28</v>
      </c>
      <c r="G335" s="1">
        <v>11421</v>
      </c>
      <c r="H335" s="1" t="s">
        <v>29</v>
      </c>
      <c r="I335" s="1">
        <v>319788</v>
      </c>
      <c r="J335" t="str">
        <f t="shared" si="5"/>
        <v>June</v>
      </c>
    </row>
    <row r="336" spans="1:10" x14ac:dyDescent="0.25">
      <c r="A336" s="1">
        <v>1005</v>
      </c>
      <c r="B336" s="1" t="s">
        <v>17</v>
      </c>
      <c r="C336" s="1" t="s">
        <v>14</v>
      </c>
      <c r="D336" s="1" t="s">
        <v>21</v>
      </c>
      <c r="E336" s="2">
        <v>45698</v>
      </c>
      <c r="F336" s="1">
        <v>5</v>
      </c>
      <c r="G336" s="1">
        <v>15676</v>
      </c>
      <c r="H336" s="1" t="s">
        <v>30</v>
      </c>
      <c r="I336" s="1">
        <v>78380</v>
      </c>
      <c r="J336" t="str">
        <f t="shared" si="5"/>
        <v>February</v>
      </c>
    </row>
    <row r="337" spans="1:10" x14ac:dyDescent="0.25">
      <c r="A337" s="1">
        <v>1031</v>
      </c>
      <c r="B337" s="1" t="s">
        <v>20</v>
      </c>
      <c r="C337" s="1" t="s">
        <v>10</v>
      </c>
      <c r="D337" s="1" t="s">
        <v>18</v>
      </c>
      <c r="E337" s="2">
        <v>45759</v>
      </c>
      <c r="F337" s="1">
        <v>17</v>
      </c>
      <c r="G337" s="1">
        <v>22517</v>
      </c>
      <c r="H337" s="1" t="s">
        <v>29</v>
      </c>
      <c r="I337" s="1">
        <v>382789</v>
      </c>
      <c r="J337" t="str">
        <f t="shared" si="5"/>
        <v>April</v>
      </c>
    </row>
    <row r="338" spans="1:10" x14ac:dyDescent="0.25">
      <c r="A338" s="1">
        <v>1002</v>
      </c>
      <c r="B338" s="1" t="s">
        <v>13</v>
      </c>
      <c r="C338" s="1" t="s">
        <v>10</v>
      </c>
      <c r="D338" s="1" t="s">
        <v>15</v>
      </c>
      <c r="E338" s="2">
        <v>45126</v>
      </c>
      <c r="F338" s="1">
        <v>36</v>
      </c>
      <c r="G338" s="1">
        <v>6309</v>
      </c>
      <c r="H338" s="1" t="s">
        <v>19</v>
      </c>
      <c r="I338" s="1">
        <v>227124</v>
      </c>
      <c r="J338" t="str">
        <f t="shared" si="5"/>
        <v>July</v>
      </c>
    </row>
    <row r="339" spans="1:10" x14ac:dyDescent="0.25">
      <c r="A339" s="1">
        <v>1045</v>
      </c>
      <c r="B339" s="1" t="s">
        <v>20</v>
      </c>
      <c r="C339" s="1" t="s">
        <v>14</v>
      </c>
      <c r="D339" s="1" t="s">
        <v>21</v>
      </c>
      <c r="E339" s="2">
        <v>44956</v>
      </c>
      <c r="F339" s="1">
        <v>20</v>
      </c>
      <c r="G339" s="1">
        <v>46247</v>
      </c>
      <c r="H339" s="1" t="s">
        <v>23</v>
      </c>
      <c r="I339" s="1">
        <v>924940</v>
      </c>
      <c r="J339" t="str">
        <f t="shared" si="5"/>
        <v>January</v>
      </c>
    </row>
    <row r="340" spans="1:10" x14ac:dyDescent="0.25">
      <c r="A340" s="1">
        <v>1009</v>
      </c>
      <c r="B340" s="1" t="s">
        <v>31</v>
      </c>
      <c r="C340" s="1" t="s">
        <v>10</v>
      </c>
      <c r="D340" s="1" t="s">
        <v>21</v>
      </c>
      <c r="E340" s="2">
        <v>44951</v>
      </c>
      <c r="F340" s="1">
        <v>4</v>
      </c>
      <c r="G340" s="1">
        <v>5841</v>
      </c>
      <c r="H340" s="1" t="s">
        <v>19</v>
      </c>
      <c r="I340" s="1">
        <v>23364</v>
      </c>
      <c r="J340" t="str">
        <f t="shared" si="5"/>
        <v>January</v>
      </c>
    </row>
    <row r="341" spans="1:10" x14ac:dyDescent="0.25">
      <c r="A341" s="1">
        <v>1002</v>
      </c>
      <c r="B341" s="1" t="s">
        <v>17</v>
      </c>
      <c r="C341" s="1" t="s">
        <v>10</v>
      </c>
      <c r="D341" s="1" t="s">
        <v>15</v>
      </c>
      <c r="E341" s="2">
        <v>44965</v>
      </c>
      <c r="F341" s="1">
        <v>28</v>
      </c>
      <c r="G341" s="1">
        <v>6774</v>
      </c>
      <c r="H341" s="1" t="s">
        <v>29</v>
      </c>
      <c r="I341" s="1">
        <v>189672</v>
      </c>
      <c r="J341" t="str">
        <f t="shared" si="5"/>
        <v>February</v>
      </c>
    </row>
    <row r="342" spans="1:10" x14ac:dyDescent="0.25">
      <c r="A342" s="1">
        <v>1018</v>
      </c>
      <c r="B342" s="1" t="s">
        <v>31</v>
      </c>
      <c r="C342" s="1" t="s">
        <v>14</v>
      </c>
      <c r="D342" s="1" t="s">
        <v>15</v>
      </c>
      <c r="E342" s="2">
        <v>45257</v>
      </c>
      <c r="F342" s="1">
        <v>16</v>
      </c>
      <c r="G342" s="1">
        <v>21161</v>
      </c>
      <c r="H342" s="1" t="s">
        <v>28</v>
      </c>
      <c r="I342" s="1">
        <v>338576</v>
      </c>
      <c r="J342" t="str">
        <f t="shared" si="5"/>
        <v>November</v>
      </c>
    </row>
    <row r="343" spans="1:10" x14ac:dyDescent="0.25">
      <c r="A343" s="1">
        <v>1035</v>
      </c>
      <c r="B343" s="1" t="s">
        <v>24</v>
      </c>
      <c r="C343" s="1" t="s">
        <v>10</v>
      </c>
      <c r="D343" s="1" t="s">
        <v>18</v>
      </c>
      <c r="E343" s="2">
        <v>44959</v>
      </c>
      <c r="F343" s="1">
        <v>39</v>
      </c>
      <c r="G343" s="1">
        <v>19385</v>
      </c>
      <c r="H343" s="1" t="s">
        <v>19</v>
      </c>
      <c r="I343" s="1">
        <v>756015</v>
      </c>
      <c r="J343" t="str">
        <f t="shared" si="5"/>
        <v>February</v>
      </c>
    </row>
    <row r="344" spans="1:10" x14ac:dyDescent="0.25">
      <c r="A344" s="1">
        <v>1044</v>
      </c>
      <c r="B344" s="1" t="s">
        <v>27</v>
      </c>
      <c r="C344" s="1" t="s">
        <v>10</v>
      </c>
      <c r="D344" s="1" t="s">
        <v>11</v>
      </c>
      <c r="E344" s="2">
        <v>45435</v>
      </c>
      <c r="F344" s="1">
        <v>30</v>
      </c>
      <c r="G344" s="1">
        <v>44126</v>
      </c>
      <c r="H344" s="1" t="s">
        <v>28</v>
      </c>
      <c r="I344" s="1">
        <v>1323780</v>
      </c>
      <c r="J344" t="str">
        <f t="shared" si="5"/>
        <v>May</v>
      </c>
    </row>
    <row r="345" spans="1:10" x14ac:dyDescent="0.25">
      <c r="A345" s="1">
        <v>1025</v>
      </c>
      <c r="B345" s="1" t="s">
        <v>13</v>
      </c>
      <c r="C345" s="1" t="s">
        <v>10</v>
      </c>
      <c r="D345" s="1" t="s">
        <v>18</v>
      </c>
      <c r="E345" s="2">
        <v>45361</v>
      </c>
      <c r="F345" s="1">
        <v>30</v>
      </c>
      <c r="G345" s="1">
        <v>22654</v>
      </c>
      <c r="H345" s="1" t="s">
        <v>28</v>
      </c>
      <c r="I345" s="1">
        <v>679620</v>
      </c>
      <c r="J345" t="str">
        <f t="shared" si="5"/>
        <v>March</v>
      </c>
    </row>
    <row r="346" spans="1:10" x14ac:dyDescent="0.25">
      <c r="A346" s="1">
        <v>1016</v>
      </c>
      <c r="B346" s="1" t="s">
        <v>20</v>
      </c>
      <c r="C346" s="1" t="s">
        <v>14</v>
      </c>
      <c r="D346" s="1" t="s">
        <v>21</v>
      </c>
      <c r="E346" s="2">
        <v>45106</v>
      </c>
      <c r="F346" s="1">
        <v>20</v>
      </c>
      <c r="G346" s="1">
        <v>36840</v>
      </c>
      <c r="H346" s="1" t="s">
        <v>19</v>
      </c>
      <c r="I346" s="1">
        <v>736800</v>
      </c>
      <c r="J346" t="str">
        <f t="shared" si="5"/>
        <v>June</v>
      </c>
    </row>
    <row r="347" spans="1:10" x14ac:dyDescent="0.25">
      <c r="A347" s="1">
        <v>1041</v>
      </c>
      <c r="B347" s="1" t="s">
        <v>27</v>
      </c>
      <c r="C347" s="1" t="s">
        <v>10</v>
      </c>
      <c r="D347" s="1" t="s">
        <v>21</v>
      </c>
      <c r="E347" s="2">
        <v>45362</v>
      </c>
      <c r="F347" s="1">
        <v>32</v>
      </c>
      <c r="G347" s="1">
        <v>22021</v>
      </c>
      <c r="H347" s="1" t="s">
        <v>12</v>
      </c>
      <c r="I347" s="1">
        <v>704672</v>
      </c>
      <c r="J347" t="str">
        <f t="shared" si="5"/>
        <v>March</v>
      </c>
    </row>
    <row r="348" spans="1:10" x14ac:dyDescent="0.25">
      <c r="A348" s="1">
        <v>1044</v>
      </c>
      <c r="B348" s="1" t="s">
        <v>20</v>
      </c>
      <c r="C348" s="1" t="s">
        <v>14</v>
      </c>
      <c r="D348" s="1" t="s">
        <v>11</v>
      </c>
      <c r="E348" s="2">
        <v>45640</v>
      </c>
      <c r="F348" s="1">
        <v>46</v>
      </c>
      <c r="G348" s="1">
        <v>46653</v>
      </c>
      <c r="H348" s="1" t="s">
        <v>16</v>
      </c>
      <c r="I348" s="1">
        <v>2146038</v>
      </c>
      <c r="J348" t="str">
        <f t="shared" si="5"/>
        <v>December</v>
      </c>
    </row>
    <row r="349" spans="1:10" x14ac:dyDescent="0.25">
      <c r="A349" s="1">
        <v>1046</v>
      </c>
      <c r="B349" s="1" t="s">
        <v>25</v>
      </c>
      <c r="C349" s="1" t="s">
        <v>14</v>
      </c>
      <c r="D349" s="1" t="s">
        <v>18</v>
      </c>
      <c r="E349" s="2">
        <v>45878</v>
      </c>
      <c r="F349" s="1">
        <v>26</v>
      </c>
      <c r="G349" s="1">
        <v>46288</v>
      </c>
      <c r="H349" s="1" t="s">
        <v>26</v>
      </c>
      <c r="I349" s="1">
        <v>1203488</v>
      </c>
      <c r="J349" t="str">
        <f t="shared" si="5"/>
        <v>August</v>
      </c>
    </row>
    <row r="350" spans="1:10" x14ac:dyDescent="0.25">
      <c r="A350" s="1">
        <v>1020</v>
      </c>
      <c r="B350" s="1" t="s">
        <v>13</v>
      </c>
      <c r="C350" s="1" t="s">
        <v>10</v>
      </c>
      <c r="D350" s="1" t="s">
        <v>18</v>
      </c>
      <c r="E350" s="2">
        <v>45951</v>
      </c>
      <c r="F350" s="1">
        <v>3</v>
      </c>
      <c r="G350" s="1">
        <v>36487</v>
      </c>
      <c r="H350" s="1" t="s">
        <v>12</v>
      </c>
      <c r="I350" s="1">
        <v>109461</v>
      </c>
      <c r="J350" t="str">
        <f t="shared" si="5"/>
        <v>October</v>
      </c>
    </row>
    <row r="351" spans="1:10" x14ac:dyDescent="0.25">
      <c r="A351" s="1">
        <v>1004</v>
      </c>
      <c r="B351" s="1" t="s">
        <v>24</v>
      </c>
      <c r="C351" s="1" t="s">
        <v>14</v>
      </c>
      <c r="D351" s="1" t="s">
        <v>18</v>
      </c>
      <c r="E351" s="2">
        <v>45152</v>
      </c>
      <c r="F351" s="1">
        <v>34</v>
      </c>
      <c r="G351" s="1">
        <v>4602</v>
      </c>
      <c r="H351" s="1" t="s">
        <v>29</v>
      </c>
      <c r="I351" s="1">
        <v>156468</v>
      </c>
      <c r="J351" t="str">
        <f t="shared" si="5"/>
        <v>August</v>
      </c>
    </row>
    <row r="352" spans="1:10" x14ac:dyDescent="0.25">
      <c r="A352" s="1">
        <v>1032</v>
      </c>
      <c r="B352" s="1" t="s">
        <v>9</v>
      </c>
      <c r="C352" s="1" t="s">
        <v>14</v>
      </c>
      <c r="D352" s="1" t="s">
        <v>15</v>
      </c>
      <c r="E352" s="2">
        <v>45981</v>
      </c>
      <c r="F352" s="1">
        <v>10</v>
      </c>
      <c r="G352" s="1">
        <v>21038</v>
      </c>
      <c r="H352" s="1" t="s">
        <v>29</v>
      </c>
      <c r="I352" s="1">
        <v>210380</v>
      </c>
      <c r="J352" t="str">
        <f t="shared" si="5"/>
        <v>November</v>
      </c>
    </row>
    <row r="353" spans="1:10" x14ac:dyDescent="0.25">
      <c r="A353" s="1">
        <v>1020</v>
      </c>
      <c r="B353" s="1" t="s">
        <v>32</v>
      </c>
      <c r="C353" s="1" t="s">
        <v>10</v>
      </c>
      <c r="D353" s="1" t="s">
        <v>21</v>
      </c>
      <c r="E353" s="2">
        <v>45974</v>
      </c>
      <c r="F353" s="1">
        <v>37</v>
      </c>
      <c r="G353" s="1">
        <v>34149</v>
      </c>
      <c r="H353" s="1" t="s">
        <v>26</v>
      </c>
      <c r="I353" s="1">
        <v>1263513</v>
      </c>
      <c r="J353" t="str">
        <f t="shared" si="5"/>
        <v>November</v>
      </c>
    </row>
    <row r="354" spans="1:10" x14ac:dyDescent="0.25">
      <c r="A354" s="1">
        <v>1039</v>
      </c>
      <c r="B354" s="1" t="s">
        <v>9</v>
      </c>
      <c r="C354" s="1" t="s">
        <v>14</v>
      </c>
      <c r="D354" s="1" t="s">
        <v>18</v>
      </c>
      <c r="E354" s="2">
        <v>45457</v>
      </c>
      <c r="F354" s="1">
        <v>17</v>
      </c>
      <c r="G354" s="1">
        <v>11020</v>
      </c>
      <c r="H354" s="1" t="s">
        <v>23</v>
      </c>
      <c r="I354" s="1">
        <v>187340</v>
      </c>
      <c r="J354" t="str">
        <f t="shared" si="5"/>
        <v>June</v>
      </c>
    </row>
    <row r="355" spans="1:10" x14ac:dyDescent="0.25">
      <c r="A355" s="1">
        <v>1015</v>
      </c>
      <c r="B355" s="1" t="s">
        <v>31</v>
      </c>
      <c r="C355" s="1" t="s">
        <v>10</v>
      </c>
      <c r="D355" s="1" t="s">
        <v>15</v>
      </c>
      <c r="E355" s="2">
        <v>46011</v>
      </c>
      <c r="F355" s="1">
        <v>44</v>
      </c>
      <c r="G355" s="1">
        <v>47614</v>
      </c>
      <c r="H355" s="1" t="s">
        <v>30</v>
      </c>
      <c r="I355" s="1">
        <v>2095016</v>
      </c>
      <c r="J355" t="str">
        <f t="shared" si="5"/>
        <v>December</v>
      </c>
    </row>
    <row r="356" spans="1:10" x14ac:dyDescent="0.25">
      <c r="A356" s="1">
        <v>1018</v>
      </c>
      <c r="B356" s="1" t="s">
        <v>24</v>
      </c>
      <c r="C356" s="1" t="s">
        <v>14</v>
      </c>
      <c r="D356" s="1" t="s">
        <v>15</v>
      </c>
      <c r="E356" s="2">
        <v>45038</v>
      </c>
      <c r="F356" s="1">
        <v>30</v>
      </c>
      <c r="G356" s="1">
        <v>22147</v>
      </c>
      <c r="H356" s="1" t="s">
        <v>29</v>
      </c>
      <c r="I356" s="1">
        <v>664410</v>
      </c>
      <c r="J356" t="str">
        <f t="shared" si="5"/>
        <v>April</v>
      </c>
    </row>
    <row r="357" spans="1:10" x14ac:dyDescent="0.25">
      <c r="A357" s="1">
        <v>1007</v>
      </c>
      <c r="B357" s="1" t="s">
        <v>17</v>
      </c>
      <c r="C357" s="1" t="s">
        <v>10</v>
      </c>
      <c r="D357" s="1" t="s">
        <v>18</v>
      </c>
      <c r="E357" s="2">
        <v>45370</v>
      </c>
      <c r="F357" s="1">
        <v>28</v>
      </c>
      <c r="G357" s="1">
        <v>17459</v>
      </c>
      <c r="H357" s="1" t="s">
        <v>28</v>
      </c>
      <c r="I357" s="1">
        <v>488852</v>
      </c>
      <c r="J357" t="str">
        <f t="shared" si="5"/>
        <v>March</v>
      </c>
    </row>
    <row r="358" spans="1:10" x14ac:dyDescent="0.25">
      <c r="A358" s="1">
        <v>1003</v>
      </c>
      <c r="B358" s="1" t="s">
        <v>9</v>
      </c>
      <c r="C358" s="1" t="s">
        <v>14</v>
      </c>
      <c r="D358" s="1" t="s">
        <v>21</v>
      </c>
      <c r="E358" s="2">
        <v>45562</v>
      </c>
      <c r="F358" s="1">
        <v>23</v>
      </c>
      <c r="G358" s="1">
        <v>49434</v>
      </c>
      <c r="H358" s="1" t="s">
        <v>19</v>
      </c>
      <c r="I358" s="1">
        <v>1136982</v>
      </c>
      <c r="J358" t="str">
        <f t="shared" si="5"/>
        <v>September</v>
      </c>
    </row>
    <row r="359" spans="1:10" x14ac:dyDescent="0.25">
      <c r="A359" s="1">
        <v>1008</v>
      </c>
      <c r="B359" s="1" t="s">
        <v>13</v>
      </c>
      <c r="C359" s="1" t="s">
        <v>14</v>
      </c>
      <c r="D359" s="1" t="s">
        <v>11</v>
      </c>
      <c r="E359" s="2">
        <v>45847</v>
      </c>
      <c r="F359" s="1">
        <v>13</v>
      </c>
      <c r="G359" s="1">
        <v>45866</v>
      </c>
      <c r="H359" s="1" t="s">
        <v>16</v>
      </c>
      <c r="I359" s="1">
        <v>596258</v>
      </c>
      <c r="J359" t="str">
        <f t="shared" si="5"/>
        <v>July</v>
      </c>
    </row>
    <row r="360" spans="1:10" x14ac:dyDescent="0.25">
      <c r="A360" s="1">
        <v>1029</v>
      </c>
      <c r="B360" s="1" t="s">
        <v>31</v>
      </c>
      <c r="C360" s="1" t="s">
        <v>10</v>
      </c>
      <c r="D360" s="1" t="s">
        <v>11</v>
      </c>
      <c r="E360" s="2">
        <v>45080</v>
      </c>
      <c r="F360" s="1">
        <v>25</v>
      </c>
      <c r="G360" s="1">
        <v>25332</v>
      </c>
      <c r="H360" s="1" t="s">
        <v>29</v>
      </c>
      <c r="I360" s="1">
        <v>633300</v>
      </c>
      <c r="J360" t="str">
        <f t="shared" si="5"/>
        <v>June</v>
      </c>
    </row>
    <row r="361" spans="1:10" x14ac:dyDescent="0.25">
      <c r="A361" s="1">
        <v>1008</v>
      </c>
      <c r="B361" s="1" t="s">
        <v>32</v>
      </c>
      <c r="C361" s="1" t="s">
        <v>14</v>
      </c>
      <c r="D361" s="1" t="s">
        <v>18</v>
      </c>
      <c r="E361" s="2">
        <v>45053</v>
      </c>
      <c r="F361" s="1">
        <v>43</v>
      </c>
      <c r="G361" s="1">
        <v>10782</v>
      </c>
      <c r="H361" s="1" t="s">
        <v>23</v>
      </c>
      <c r="I361" s="1">
        <v>463626</v>
      </c>
      <c r="J361" t="str">
        <f t="shared" si="5"/>
        <v>May</v>
      </c>
    </row>
    <row r="362" spans="1:10" x14ac:dyDescent="0.25">
      <c r="A362" s="1">
        <v>1001</v>
      </c>
      <c r="B362" s="1" t="s">
        <v>20</v>
      </c>
      <c r="C362" s="1" t="s">
        <v>14</v>
      </c>
      <c r="D362" s="1" t="s">
        <v>21</v>
      </c>
      <c r="E362" s="2">
        <v>45445</v>
      </c>
      <c r="F362" s="1">
        <v>18</v>
      </c>
      <c r="G362" s="1">
        <v>40957</v>
      </c>
      <c r="H362" s="1" t="s">
        <v>19</v>
      </c>
      <c r="I362" s="1">
        <v>737226</v>
      </c>
      <c r="J362" t="str">
        <f t="shared" si="5"/>
        <v>June</v>
      </c>
    </row>
    <row r="363" spans="1:10" x14ac:dyDescent="0.25">
      <c r="A363" s="1">
        <v>1043</v>
      </c>
      <c r="B363" s="1" t="s">
        <v>27</v>
      </c>
      <c r="C363" s="1" t="s">
        <v>10</v>
      </c>
      <c r="D363" s="1" t="s">
        <v>11</v>
      </c>
      <c r="E363" s="2">
        <v>45238</v>
      </c>
      <c r="F363" s="1">
        <v>28</v>
      </c>
      <c r="G363" s="1">
        <v>48254</v>
      </c>
      <c r="H363" s="1" t="s">
        <v>19</v>
      </c>
      <c r="I363" s="1">
        <v>1351112</v>
      </c>
      <c r="J363" t="str">
        <f t="shared" si="5"/>
        <v>November</v>
      </c>
    </row>
    <row r="364" spans="1:10" x14ac:dyDescent="0.25">
      <c r="A364" s="1">
        <v>1021</v>
      </c>
      <c r="B364" s="1" t="s">
        <v>31</v>
      </c>
      <c r="C364" s="1" t="s">
        <v>10</v>
      </c>
      <c r="D364" s="1" t="s">
        <v>21</v>
      </c>
      <c r="E364" s="2">
        <v>45934</v>
      </c>
      <c r="F364" s="1">
        <v>35</v>
      </c>
      <c r="G364" s="1">
        <v>11003</v>
      </c>
      <c r="H364" s="1" t="s">
        <v>19</v>
      </c>
      <c r="I364" s="1">
        <v>385105</v>
      </c>
      <c r="J364" t="str">
        <f t="shared" si="5"/>
        <v>October</v>
      </c>
    </row>
    <row r="365" spans="1:10" x14ac:dyDescent="0.25">
      <c r="A365" s="1">
        <v>1039</v>
      </c>
      <c r="B365" s="1" t="s">
        <v>9</v>
      </c>
      <c r="C365" s="1" t="s">
        <v>14</v>
      </c>
      <c r="D365" s="1" t="s">
        <v>11</v>
      </c>
      <c r="E365" s="2">
        <v>46022</v>
      </c>
      <c r="F365" s="1">
        <v>2</v>
      </c>
      <c r="G365" s="1">
        <v>37134</v>
      </c>
      <c r="H365" s="1" t="s">
        <v>29</v>
      </c>
      <c r="I365" s="1">
        <v>74268</v>
      </c>
      <c r="J365" t="str">
        <f t="shared" si="5"/>
        <v>December</v>
      </c>
    </row>
    <row r="366" spans="1:10" x14ac:dyDescent="0.25">
      <c r="A366" s="1">
        <v>1045</v>
      </c>
      <c r="B366" s="1" t="s">
        <v>24</v>
      </c>
      <c r="C366" s="1" t="s">
        <v>14</v>
      </c>
      <c r="D366" s="1" t="s">
        <v>15</v>
      </c>
      <c r="E366" s="2">
        <v>45020</v>
      </c>
      <c r="F366" s="1">
        <v>5</v>
      </c>
      <c r="G366" s="1">
        <v>13535</v>
      </c>
      <c r="H366" s="1" t="s">
        <v>28</v>
      </c>
      <c r="I366" s="1">
        <v>67675</v>
      </c>
      <c r="J366" t="str">
        <f t="shared" si="5"/>
        <v>April</v>
      </c>
    </row>
    <row r="367" spans="1:10" x14ac:dyDescent="0.25">
      <c r="A367" s="1">
        <v>1002</v>
      </c>
      <c r="B367" s="1" t="s">
        <v>20</v>
      </c>
      <c r="C367" s="1" t="s">
        <v>10</v>
      </c>
      <c r="D367" s="1" t="s">
        <v>21</v>
      </c>
      <c r="E367" s="2">
        <v>45175</v>
      </c>
      <c r="F367" s="1">
        <v>48</v>
      </c>
      <c r="G367" s="1">
        <v>37747</v>
      </c>
      <c r="H367" s="1" t="s">
        <v>26</v>
      </c>
      <c r="I367" s="1">
        <v>1811856</v>
      </c>
      <c r="J367" t="str">
        <f t="shared" si="5"/>
        <v>September</v>
      </c>
    </row>
    <row r="368" spans="1:10" x14ac:dyDescent="0.25">
      <c r="A368" s="1">
        <v>1034</v>
      </c>
      <c r="B368" s="1" t="s">
        <v>20</v>
      </c>
      <c r="C368" s="1" t="s">
        <v>14</v>
      </c>
      <c r="D368" s="1" t="s">
        <v>11</v>
      </c>
      <c r="E368" s="2">
        <v>45327</v>
      </c>
      <c r="F368" s="1">
        <v>18</v>
      </c>
      <c r="G368" s="1">
        <v>36998</v>
      </c>
      <c r="H368" s="1" t="s">
        <v>29</v>
      </c>
      <c r="I368" s="1">
        <v>665964</v>
      </c>
      <c r="J368" t="str">
        <f t="shared" si="5"/>
        <v>February</v>
      </c>
    </row>
    <row r="369" spans="1:10" x14ac:dyDescent="0.25">
      <c r="A369" s="1">
        <v>1021</v>
      </c>
      <c r="B369" s="1" t="s">
        <v>31</v>
      </c>
      <c r="C369" s="1" t="s">
        <v>10</v>
      </c>
      <c r="D369" s="1" t="s">
        <v>18</v>
      </c>
      <c r="E369" s="2">
        <v>45510</v>
      </c>
      <c r="F369" s="1">
        <v>48</v>
      </c>
      <c r="G369" s="1">
        <v>7059</v>
      </c>
      <c r="H369" s="1" t="s">
        <v>28</v>
      </c>
      <c r="I369" s="1">
        <v>338832</v>
      </c>
      <c r="J369" t="str">
        <f t="shared" si="5"/>
        <v>August</v>
      </c>
    </row>
    <row r="370" spans="1:10" x14ac:dyDescent="0.25">
      <c r="A370" s="1">
        <v>1048</v>
      </c>
      <c r="B370" s="1" t="s">
        <v>32</v>
      </c>
      <c r="C370" s="1" t="s">
        <v>10</v>
      </c>
      <c r="D370" s="1" t="s">
        <v>21</v>
      </c>
      <c r="E370" s="2">
        <v>45101</v>
      </c>
      <c r="F370" s="1">
        <v>44</v>
      </c>
      <c r="G370" s="1">
        <v>12711</v>
      </c>
      <c r="H370" s="1" t="s">
        <v>16</v>
      </c>
      <c r="I370" s="1">
        <v>559284</v>
      </c>
      <c r="J370" t="str">
        <f t="shared" si="5"/>
        <v>June</v>
      </c>
    </row>
    <row r="371" spans="1:10" x14ac:dyDescent="0.25">
      <c r="A371" s="1">
        <v>1033</v>
      </c>
      <c r="B371" s="1" t="s">
        <v>25</v>
      </c>
      <c r="C371" s="1" t="s">
        <v>10</v>
      </c>
      <c r="D371" s="1" t="s">
        <v>21</v>
      </c>
      <c r="E371" s="2">
        <v>45118</v>
      </c>
      <c r="F371" s="1">
        <v>37</v>
      </c>
      <c r="G371" s="1">
        <v>39358</v>
      </c>
      <c r="H371" s="1" t="s">
        <v>23</v>
      </c>
      <c r="I371" s="1">
        <v>1456246</v>
      </c>
      <c r="J371" t="str">
        <f t="shared" si="5"/>
        <v>July</v>
      </c>
    </row>
    <row r="372" spans="1:10" x14ac:dyDescent="0.25">
      <c r="A372" s="1">
        <v>1039</v>
      </c>
      <c r="B372" s="1" t="s">
        <v>17</v>
      </c>
      <c r="C372" s="1" t="s">
        <v>10</v>
      </c>
      <c r="D372" s="1" t="s">
        <v>21</v>
      </c>
      <c r="E372" s="2">
        <v>45340</v>
      </c>
      <c r="F372" s="1">
        <v>44</v>
      </c>
      <c r="G372" s="1">
        <v>1136</v>
      </c>
      <c r="H372" s="1" t="s">
        <v>12</v>
      </c>
      <c r="I372" s="1">
        <v>49984</v>
      </c>
      <c r="J372" t="str">
        <f t="shared" si="5"/>
        <v>February</v>
      </c>
    </row>
    <row r="373" spans="1:10" x14ac:dyDescent="0.25">
      <c r="A373" s="1">
        <v>1040</v>
      </c>
      <c r="B373" s="1" t="s">
        <v>20</v>
      </c>
      <c r="C373" s="1" t="s">
        <v>14</v>
      </c>
      <c r="D373" s="1" t="s">
        <v>11</v>
      </c>
      <c r="E373" s="2">
        <v>45045</v>
      </c>
      <c r="F373" s="1">
        <v>49</v>
      </c>
      <c r="G373" s="1">
        <v>33646</v>
      </c>
      <c r="H373" s="1" t="s">
        <v>26</v>
      </c>
      <c r="I373" s="1">
        <v>1648654</v>
      </c>
      <c r="J373" t="str">
        <f t="shared" si="5"/>
        <v>April</v>
      </c>
    </row>
    <row r="374" spans="1:10" x14ac:dyDescent="0.25">
      <c r="A374" s="1">
        <v>1007</v>
      </c>
      <c r="B374" s="1" t="s">
        <v>9</v>
      </c>
      <c r="C374" s="1" t="s">
        <v>10</v>
      </c>
      <c r="D374" s="1" t="s">
        <v>15</v>
      </c>
      <c r="E374" s="2">
        <v>45267</v>
      </c>
      <c r="F374" s="1">
        <v>34</v>
      </c>
      <c r="G374" s="1">
        <v>17239</v>
      </c>
      <c r="H374" s="1" t="s">
        <v>16</v>
      </c>
      <c r="I374" s="1">
        <v>586126</v>
      </c>
      <c r="J374" t="str">
        <f t="shared" si="5"/>
        <v>December</v>
      </c>
    </row>
    <row r="375" spans="1:10" x14ac:dyDescent="0.25">
      <c r="A375" s="1">
        <v>1015</v>
      </c>
      <c r="B375" s="1" t="s">
        <v>31</v>
      </c>
      <c r="C375" s="1" t="s">
        <v>10</v>
      </c>
      <c r="D375" s="1" t="s">
        <v>15</v>
      </c>
      <c r="E375" s="2">
        <v>46000</v>
      </c>
      <c r="F375" s="1">
        <v>11</v>
      </c>
      <c r="G375" s="1">
        <v>10758</v>
      </c>
      <c r="H375" s="1" t="s">
        <v>28</v>
      </c>
      <c r="I375" s="1">
        <v>118338</v>
      </c>
      <c r="J375" t="str">
        <f t="shared" si="5"/>
        <v>December</v>
      </c>
    </row>
    <row r="376" spans="1:10" x14ac:dyDescent="0.25">
      <c r="A376" s="1">
        <v>1009</v>
      </c>
      <c r="B376" s="1" t="s">
        <v>13</v>
      </c>
      <c r="C376" s="1" t="s">
        <v>10</v>
      </c>
      <c r="D376" s="1" t="s">
        <v>11</v>
      </c>
      <c r="E376" s="2">
        <v>45472</v>
      </c>
      <c r="F376" s="1">
        <v>35</v>
      </c>
      <c r="G376" s="1">
        <v>2627</v>
      </c>
      <c r="H376" s="1" t="s">
        <v>16</v>
      </c>
      <c r="I376" s="1">
        <v>91945</v>
      </c>
      <c r="J376" t="str">
        <f t="shared" si="5"/>
        <v>June</v>
      </c>
    </row>
    <row r="377" spans="1:10" x14ac:dyDescent="0.25">
      <c r="A377" s="1">
        <v>1030</v>
      </c>
      <c r="B377" s="1" t="s">
        <v>22</v>
      </c>
      <c r="C377" s="1" t="s">
        <v>14</v>
      </c>
      <c r="D377" s="1" t="s">
        <v>15</v>
      </c>
      <c r="E377" s="2">
        <v>45692</v>
      </c>
      <c r="F377" s="1">
        <v>25</v>
      </c>
      <c r="G377" s="1">
        <v>45042</v>
      </c>
      <c r="H377" s="1" t="s">
        <v>30</v>
      </c>
      <c r="I377" s="1">
        <v>1126050</v>
      </c>
      <c r="J377" t="str">
        <f t="shared" si="5"/>
        <v>February</v>
      </c>
    </row>
    <row r="378" spans="1:10" x14ac:dyDescent="0.25">
      <c r="A378" s="1">
        <v>1044</v>
      </c>
      <c r="B378" s="1" t="s">
        <v>17</v>
      </c>
      <c r="C378" s="1" t="s">
        <v>10</v>
      </c>
      <c r="D378" s="1" t="s">
        <v>15</v>
      </c>
      <c r="E378" s="2">
        <v>46014</v>
      </c>
      <c r="F378" s="1">
        <v>29</v>
      </c>
      <c r="G378" s="1">
        <v>13750</v>
      </c>
      <c r="H378" s="1" t="s">
        <v>23</v>
      </c>
      <c r="I378" s="1">
        <v>398750</v>
      </c>
      <c r="J378" t="str">
        <f t="shared" si="5"/>
        <v>December</v>
      </c>
    </row>
    <row r="379" spans="1:10" x14ac:dyDescent="0.25">
      <c r="A379" s="1">
        <v>1017</v>
      </c>
      <c r="B379" s="1" t="s">
        <v>25</v>
      </c>
      <c r="C379" s="1" t="s">
        <v>14</v>
      </c>
      <c r="D379" s="1" t="s">
        <v>18</v>
      </c>
      <c r="E379" s="2">
        <v>45195</v>
      </c>
      <c r="F379" s="1">
        <v>46</v>
      </c>
      <c r="G379" s="1">
        <v>10856</v>
      </c>
      <c r="H379" s="1" t="s">
        <v>28</v>
      </c>
      <c r="I379" s="1">
        <v>499376</v>
      </c>
      <c r="J379" t="str">
        <f t="shared" si="5"/>
        <v>September</v>
      </c>
    </row>
    <row r="380" spans="1:10" x14ac:dyDescent="0.25">
      <c r="A380" s="1">
        <v>1038</v>
      </c>
      <c r="B380" s="1" t="s">
        <v>22</v>
      </c>
      <c r="C380" s="1" t="s">
        <v>10</v>
      </c>
      <c r="D380" s="1" t="s">
        <v>15</v>
      </c>
      <c r="E380" s="2">
        <v>45801</v>
      </c>
      <c r="F380" s="1">
        <v>1</v>
      </c>
      <c r="G380" s="1">
        <v>2891</v>
      </c>
      <c r="H380" s="1" t="s">
        <v>30</v>
      </c>
      <c r="I380" s="1">
        <v>2891</v>
      </c>
      <c r="J380" t="str">
        <f t="shared" si="5"/>
        <v>May</v>
      </c>
    </row>
    <row r="381" spans="1:10" x14ac:dyDescent="0.25">
      <c r="A381" s="1">
        <v>1041</v>
      </c>
      <c r="B381" s="1" t="s">
        <v>31</v>
      </c>
      <c r="C381" s="1" t="s">
        <v>14</v>
      </c>
      <c r="D381" s="1" t="s">
        <v>11</v>
      </c>
      <c r="E381" s="2">
        <v>45465</v>
      </c>
      <c r="F381" s="1">
        <v>37</v>
      </c>
      <c r="G381" s="1">
        <v>22610</v>
      </c>
      <c r="H381" s="1" t="s">
        <v>19</v>
      </c>
      <c r="I381" s="1">
        <v>836570</v>
      </c>
      <c r="J381" t="str">
        <f t="shared" si="5"/>
        <v>June</v>
      </c>
    </row>
    <row r="382" spans="1:10" x14ac:dyDescent="0.25">
      <c r="A382" s="1">
        <v>1039</v>
      </c>
      <c r="B382" s="1" t="s">
        <v>27</v>
      </c>
      <c r="C382" s="1" t="s">
        <v>14</v>
      </c>
      <c r="D382" s="1" t="s">
        <v>11</v>
      </c>
      <c r="E382" s="2">
        <v>45382</v>
      </c>
      <c r="F382" s="1">
        <v>12</v>
      </c>
      <c r="G382" s="1">
        <v>16795</v>
      </c>
      <c r="H382" s="1" t="s">
        <v>23</v>
      </c>
      <c r="I382" s="1">
        <v>201540</v>
      </c>
      <c r="J382" t="str">
        <f t="shared" si="5"/>
        <v>March</v>
      </c>
    </row>
    <row r="383" spans="1:10" x14ac:dyDescent="0.25">
      <c r="A383" s="1">
        <v>1048</v>
      </c>
      <c r="B383" s="1" t="s">
        <v>13</v>
      </c>
      <c r="C383" s="1" t="s">
        <v>10</v>
      </c>
      <c r="D383" s="1" t="s">
        <v>11</v>
      </c>
      <c r="E383" s="2">
        <v>45863</v>
      </c>
      <c r="F383" s="1">
        <v>45</v>
      </c>
      <c r="G383" s="1">
        <v>43245</v>
      </c>
      <c r="H383" s="1" t="s">
        <v>12</v>
      </c>
      <c r="I383" s="1">
        <v>1946025</v>
      </c>
      <c r="J383" t="str">
        <f t="shared" si="5"/>
        <v>July</v>
      </c>
    </row>
    <row r="384" spans="1:10" x14ac:dyDescent="0.25">
      <c r="A384" s="1">
        <v>1021</v>
      </c>
      <c r="B384" s="1" t="s">
        <v>31</v>
      </c>
      <c r="C384" s="1" t="s">
        <v>10</v>
      </c>
      <c r="D384" s="1" t="s">
        <v>18</v>
      </c>
      <c r="E384" s="2">
        <v>45851</v>
      </c>
      <c r="F384" s="1">
        <v>38</v>
      </c>
      <c r="G384" s="1">
        <v>12328</v>
      </c>
      <c r="H384" s="1" t="s">
        <v>28</v>
      </c>
      <c r="I384" s="1">
        <v>468464</v>
      </c>
      <c r="J384" t="str">
        <f t="shared" si="5"/>
        <v>July</v>
      </c>
    </row>
    <row r="385" spans="1:10" x14ac:dyDescent="0.25">
      <c r="A385" s="1">
        <v>1003</v>
      </c>
      <c r="B385" s="1" t="s">
        <v>25</v>
      </c>
      <c r="C385" s="1" t="s">
        <v>14</v>
      </c>
      <c r="D385" s="1" t="s">
        <v>21</v>
      </c>
      <c r="E385" s="2">
        <v>45180</v>
      </c>
      <c r="F385" s="1">
        <v>5</v>
      </c>
      <c r="G385" s="1">
        <v>34276</v>
      </c>
      <c r="H385" s="1" t="s">
        <v>16</v>
      </c>
      <c r="I385" s="1">
        <v>171380</v>
      </c>
      <c r="J385" t="str">
        <f t="shared" si="5"/>
        <v>September</v>
      </c>
    </row>
    <row r="386" spans="1:10" x14ac:dyDescent="0.25">
      <c r="A386" s="1">
        <v>1037</v>
      </c>
      <c r="B386" s="1" t="s">
        <v>17</v>
      </c>
      <c r="C386" s="1" t="s">
        <v>10</v>
      </c>
      <c r="D386" s="1" t="s">
        <v>15</v>
      </c>
      <c r="E386" s="2">
        <v>45107</v>
      </c>
      <c r="F386" s="1">
        <v>47</v>
      </c>
      <c r="G386" s="1">
        <v>26122</v>
      </c>
      <c r="H386" s="1" t="s">
        <v>28</v>
      </c>
      <c r="I386" s="1">
        <v>1227734</v>
      </c>
      <c r="J386" t="str">
        <f t="shared" si="5"/>
        <v>June</v>
      </c>
    </row>
    <row r="387" spans="1:10" x14ac:dyDescent="0.25">
      <c r="A387" s="1">
        <v>1017</v>
      </c>
      <c r="B387" s="1" t="s">
        <v>24</v>
      </c>
      <c r="C387" s="1" t="s">
        <v>14</v>
      </c>
      <c r="D387" s="1" t="s">
        <v>11</v>
      </c>
      <c r="E387" s="2">
        <v>45484</v>
      </c>
      <c r="F387" s="1">
        <v>24</v>
      </c>
      <c r="G387" s="1">
        <v>39158</v>
      </c>
      <c r="H387" s="1" t="s">
        <v>28</v>
      </c>
      <c r="I387" s="1">
        <v>939792</v>
      </c>
      <c r="J387" t="str">
        <f t="shared" ref="J387:J450" si="6">TEXT(E387,"mmmm")</f>
        <v>July</v>
      </c>
    </row>
    <row r="388" spans="1:10" x14ac:dyDescent="0.25">
      <c r="A388" s="1">
        <v>1017</v>
      </c>
      <c r="B388" s="1" t="s">
        <v>13</v>
      </c>
      <c r="C388" s="1" t="s">
        <v>10</v>
      </c>
      <c r="D388" s="1" t="s">
        <v>18</v>
      </c>
      <c r="E388" s="2">
        <v>45891</v>
      </c>
      <c r="F388" s="1">
        <v>21</v>
      </c>
      <c r="G388" s="1">
        <v>4686</v>
      </c>
      <c r="H388" s="1" t="s">
        <v>29</v>
      </c>
      <c r="I388" s="1">
        <v>98406</v>
      </c>
      <c r="J388" t="str">
        <f t="shared" si="6"/>
        <v>August</v>
      </c>
    </row>
    <row r="389" spans="1:10" x14ac:dyDescent="0.25">
      <c r="A389" s="1">
        <v>1011</v>
      </c>
      <c r="B389" s="1" t="s">
        <v>20</v>
      </c>
      <c r="C389" s="1" t="s">
        <v>14</v>
      </c>
      <c r="D389" s="1" t="s">
        <v>15</v>
      </c>
      <c r="E389" s="2">
        <v>45731</v>
      </c>
      <c r="F389" s="1">
        <v>1</v>
      </c>
      <c r="G389" s="1">
        <v>10986</v>
      </c>
      <c r="H389" s="1" t="s">
        <v>19</v>
      </c>
      <c r="I389" s="1">
        <v>10986</v>
      </c>
      <c r="J389" t="str">
        <f t="shared" si="6"/>
        <v>March</v>
      </c>
    </row>
    <row r="390" spans="1:10" x14ac:dyDescent="0.25">
      <c r="A390" s="1">
        <v>1010</v>
      </c>
      <c r="B390" s="1" t="s">
        <v>20</v>
      </c>
      <c r="C390" s="1" t="s">
        <v>14</v>
      </c>
      <c r="D390" s="1" t="s">
        <v>21</v>
      </c>
      <c r="E390" s="2">
        <v>45882</v>
      </c>
      <c r="F390" s="1">
        <v>24</v>
      </c>
      <c r="G390" s="1">
        <v>5456</v>
      </c>
      <c r="H390" s="1" t="s">
        <v>26</v>
      </c>
      <c r="I390" s="1">
        <v>130944</v>
      </c>
      <c r="J390" t="str">
        <f t="shared" si="6"/>
        <v>August</v>
      </c>
    </row>
    <row r="391" spans="1:10" x14ac:dyDescent="0.25">
      <c r="A391" s="1">
        <v>1001</v>
      </c>
      <c r="B391" s="1" t="s">
        <v>27</v>
      </c>
      <c r="C391" s="1" t="s">
        <v>10</v>
      </c>
      <c r="D391" s="1" t="s">
        <v>18</v>
      </c>
      <c r="E391" s="2">
        <v>45640</v>
      </c>
      <c r="F391" s="1">
        <v>20</v>
      </c>
      <c r="G391" s="1">
        <v>32080</v>
      </c>
      <c r="H391" s="1" t="s">
        <v>30</v>
      </c>
      <c r="I391" s="1">
        <v>641600</v>
      </c>
      <c r="J391" t="str">
        <f t="shared" si="6"/>
        <v>December</v>
      </c>
    </row>
    <row r="392" spans="1:10" x14ac:dyDescent="0.25">
      <c r="A392" s="1">
        <v>1010</v>
      </c>
      <c r="B392" s="1" t="s">
        <v>32</v>
      </c>
      <c r="C392" s="1" t="s">
        <v>10</v>
      </c>
      <c r="D392" s="1" t="s">
        <v>11</v>
      </c>
      <c r="E392" s="2">
        <v>45843</v>
      </c>
      <c r="F392" s="1">
        <v>16</v>
      </c>
      <c r="G392" s="1">
        <v>20795</v>
      </c>
      <c r="H392" s="1" t="s">
        <v>19</v>
      </c>
      <c r="I392" s="1">
        <v>332720</v>
      </c>
      <c r="J392" t="str">
        <f t="shared" si="6"/>
        <v>July</v>
      </c>
    </row>
    <row r="393" spans="1:10" x14ac:dyDescent="0.25">
      <c r="A393" s="1">
        <v>1025</v>
      </c>
      <c r="B393" s="1" t="s">
        <v>32</v>
      </c>
      <c r="C393" s="1" t="s">
        <v>10</v>
      </c>
      <c r="D393" s="1" t="s">
        <v>11</v>
      </c>
      <c r="E393" s="2">
        <v>44935</v>
      </c>
      <c r="F393" s="1">
        <v>12</v>
      </c>
      <c r="G393" s="1">
        <v>28029</v>
      </c>
      <c r="H393" s="1" t="s">
        <v>19</v>
      </c>
      <c r="I393" s="1">
        <v>336348</v>
      </c>
      <c r="J393" t="str">
        <f t="shared" si="6"/>
        <v>January</v>
      </c>
    </row>
    <row r="394" spans="1:10" x14ac:dyDescent="0.25">
      <c r="A394" s="1">
        <v>1016</v>
      </c>
      <c r="B394" s="1" t="s">
        <v>9</v>
      </c>
      <c r="C394" s="1" t="s">
        <v>10</v>
      </c>
      <c r="D394" s="1" t="s">
        <v>21</v>
      </c>
      <c r="E394" s="2">
        <v>45771</v>
      </c>
      <c r="F394" s="1">
        <v>26</v>
      </c>
      <c r="G394" s="1">
        <v>23530</v>
      </c>
      <c r="H394" s="1" t="s">
        <v>23</v>
      </c>
      <c r="I394" s="1">
        <v>611780</v>
      </c>
      <c r="J394" t="str">
        <f t="shared" si="6"/>
        <v>April</v>
      </c>
    </row>
    <row r="395" spans="1:10" x14ac:dyDescent="0.25">
      <c r="A395" s="1">
        <v>1038</v>
      </c>
      <c r="B395" s="1" t="s">
        <v>13</v>
      </c>
      <c r="C395" s="1" t="s">
        <v>10</v>
      </c>
      <c r="D395" s="1" t="s">
        <v>15</v>
      </c>
      <c r="E395" s="2">
        <v>45684</v>
      </c>
      <c r="F395" s="1">
        <v>6</v>
      </c>
      <c r="G395" s="1">
        <v>6284</v>
      </c>
      <c r="H395" s="1" t="s">
        <v>29</v>
      </c>
      <c r="I395" s="1">
        <v>37704</v>
      </c>
      <c r="J395" t="str">
        <f t="shared" si="6"/>
        <v>January</v>
      </c>
    </row>
    <row r="396" spans="1:10" x14ac:dyDescent="0.25">
      <c r="A396" s="1">
        <v>1032</v>
      </c>
      <c r="B396" s="1" t="s">
        <v>20</v>
      </c>
      <c r="C396" s="1" t="s">
        <v>10</v>
      </c>
      <c r="D396" s="1" t="s">
        <v>18</v>
      </c>
      <c r="E396" s="2">
        <v>45215</v>
      </c>
      <c r="F396" s="1">
        <v>19</v>
      </c>
      <c r="G396" s="1">
        <v>26036</v>
      </c>
      <c r="H396" s="1" t="s">
        <v>26</v>
      </c>
      <c r="I396" s="1">
        <v>494684</v>
      </c>
      <c r="J396" t="str">
        <f t="shared" si="6"/>
        <v>October</v>
      </c>
    </row>
    <row r="397" spans="1:10" x14ac:dyDescent="0.25">
      <c r="A397" s="1">
        <v>1025</v>
      </c>
      <c r="B397" s="1" t="s">
        <v>13</v>
      </c>
      <c r="C397" s="1" t="s">
        <v>14</v>
      </c>
      <c r="D397" s="1" t="s">
        <v>18</v>
      </c>
      <c r="E397" s="2">
        <v>45816</v>
      </c>
      <c r="F397" s="1">
        <v>4</v>
      </c>
      <c r="G397" s="1">
        <v>26362</v>
      </c>
      <c r="H397" s="1" t="s">
        <v>23</v>
      </c>
      <c r="I397" s="1">
        <v>105448</v>
      </c>
      <c r="J397" t="str">
        <f t="shared" si="6"/>
        <v>June</v>
      </c>
    </row>
    <row r="398" spans="1:10" x14ac:dyDescent="0.25">
      <c r="A398" s="1">
        <v>1013</v>
      </c>
      <c r="B398" s="1" t="s">
        <v>27</v>
      </c>
      <c r="C398" s="1" t="s">
        <v>10</v>
      </c>
      <c r="D398" s="1" t="s">
        <v>15</v>
      </c>
      <c r="E398" s="2">
        <v>45715</v>
      </c>
      <c r="F398" s="1">
        <v>5</v>
      </c>
      <c r="G398" s="1">
        <v>4419</v>
      </c>
      <c r="H398" s="1" t="s">
        <v>29</v>
      </c>
      <c r="I398" s="1">
        <v>22095</v>
      </c>
      <c r="J398" t="str">
        <f t="shared" si="6"/>
        <v>February</v>
      </c>
    </row>
    <row r="399" spans="1:10" x14ac:dyDescent="0.25">
      <c r="A399" s="1">
        <v>1043</v>
      </c>
      <c r="B399" s="1" t="s">
        <v>17</v>
      </c>
      <c r="C399" s="1" t="s">
        <v>14</v>
      </c>
      <c r="D399" s="1" t="s">
        <v>11</v>
      </c>
      <c r="E399" s="2">
        <v>45134</v>
      </c>
      <c r="F399" s="1">
        <v>43</v>
      </c>
      <c r="G399" s="1">
        <v>23077</v>
      </c>
      <c r="H399" s="1" t="s">
        <v>23</v>
      </c>
      <c r="I399" s="1">
        <v>992311</v>
      </c>
      <c r="J399" t="str">
        <f t="shared" si="6"/>
        <v>July</v>
      </c>
    </row>
    <row r="400" spans="1:10" x14ac:dyDescent="0.25">
      <c r="A400" s="1">
        <v>1016</v>
      </c>
      <c r="B400" s="1" t="s">
        <v>25</v>
      </c>
      <c r="C400" s="1" t="s">
        <v>14</v>
      </c>
      <c r="D400" s="1" t="s">
        <v>15</v>
      </c>
      <c r="E400" s="2">
        <v>44987</v>
      </c>
      <c r="F400" s="1">
        <v>26</v>
      </c>
      <c r="G400" s="1">
        <v>8397</v>
      </c>
      <c r="H400" s="1" t="s">
        <v>29</v>
      </c>
      <c r="I400" s="1">
        <v>218322</v>
      </c>
      <c r="J400" t="str">
        <f t="shared" si="6"/>
        <v>March</v>
      </c>
    </row>
    <row r="401" spans="1:10" x14ac:dyDescent="0.25">
      <c r="A401" s="1">
        <v>1041</v>
      </c>
      <c r="B401" s="1" t="s">
        <v>27</v>
      </c>
      <c r="C401" s="1" t="s">
        <v>14</v>
      </c>
      <c r="D401" s="1" t="s">
        <v>15</v>
      </c>
      <c r="E401" s="2">
        <v>45028</v>
      </c>
      <c r="F401" s="1">
        <v>40</v>
      </c>
      <c r="G401" s="1">
        <v>37657</v>
      </c>
      <c r="H401" s="1" t="s">
        <v>12</v>
      </c>
      <c r="I401" s="1">
        <v>1506280</v>
      </c>
      <c r="J401" t="str">
        <f t="shared" si="6"/>
        <v>April</v>
      </c>
    </row>
    <row r="402" spans="1:10" x14ac:dyDescent="0.25">
      <c r="A402" s="1">
        <v>1020</v>
      </c>
      <c r="B402" s="1" t="s">
        <v>31</v>
      </c>
      <c r="C402" s="1" t="s">
        <v>10</v>
      </c>
      <c r="D402" s="1" t="s">
        <v>15</v>
      </c>
      <c r="E402" s="2">
        <v>45374</v>
      </c>
      <c r="F402" s="1">
        <v>31</v>
      </c>
      <c r="G402" s="1">
        <v>22885</v>
      </c>
      <c r="H402" s="1" t="s">
        <v>29</v>
      </c>
      <c r="I402" s="1">
        <v>709435</v>
      </c>
      <c r="J402" t="str">
        <f t="shared" si="6"/>
        <v>March</v>
      </c>
    </row>
    <row r="403" spans="1:10" x14ac:dyDescent="0.25">
      <c r="A403" s="1">
        <v>1028</v>
      </c>
      <c r="B403" s="1" t="s">
        <v>13</v>
      </c>
      <c r="C403" s="1" t="s">
        <v>14</v>
      </c>
      <c r="D403" s="1" t="s">
        <v>11</v>
      </c>
      <c r="E403" s="2">
        <v>45357</v>
      </c>
      <c r="F403" s="1">
        <v>18</v>
      </c>
      <c r="G403" s="1">
        <v>24108</v>
      </c>
      <c r="H403" s="1" t="s">
        <v>12</v>
      </c>
      <c r="I403" s="1">
        <v>433944</v>
      </c>
      <c r="J403" t="str">
        <f t="shared" si="6"/>
        <v>March</v>
      </c>
    </row>
    <row r="404" spans="1:10" x14ac:dyDescent="0.25">
      <c r="A404" s="1">
        <v>1008</v>
      </c>
      <c r="B404" s="1" t="s">
        <v>20</v>
      </c>
      <c r="C404" s="1" t="s">
        <v>10</v>
      </c>
      <c r="D404" s="1" t="s">
        <v>11</v>
      </c>
      <c r="E404" s="2">
        <v>45701</v>
      </c>
      <c r="F404" s="1">
        <v>9</v>
      </c>
      <c r="G404" s="1">
        <v>17033</v>
      </c>
      <c r="H404" s="1" t="s">
        <v>23</v>
      </c>
      <c r="I404" s="1">
        <v>153297</v>
      </c>
      <c r="J404" t="str">
        <f t="shared" si="6"/>
        <v>February</v>
      </c>
    </row>
    <row r="405" spans="1:10" x14ac:dyDescent="0.25">
      <c r="A405" s="1">
        <v>1031</v>
      </c>
      <c r="B405" s="1" t="s">
        <v>13</v>
      </c>
      <c r="C405" s="1" t="s">
        <v>10</v>
      </c>
      <c r="D405" s="1" t="s">
        <v>18</v>
      </c>
      <c r="E405" s="2">
        <v>45332</v>
      </c>
      <c r="F405" s="1">
        <v>34</v>
      </c>
      <c r="G405" s="1">
        <v>19739</v>
      </c>
      <c r="H405" s="1" t="s">
        <v>29</v>
      </c>
      <c r="I405" s="1">
        <v>671126</v>
      </c>
      <c r="J405" t="str">
        <f t="shared" si="6"/>
        <v>February</v>
      </c>
    </row>
    <row r="406" spans="1:10" x14ac:dyDescent="0.25">
      <c r="A406" s="1">
        <v>1028</v>
      </c>
      <c r="B406" s="1" t="s">
        <v>31</v>
      </c>
      <c r="C406" s="1" t="s">
        <v>10</v>
      </c>
      <c r="D406" s="1" t="s">
        <v>15</v>
      </c>
      <c r="E406" s="2">
        <v>45523</v>
      </c>
      <c r="F406" s="1">
        <v>31</v>
      </c>
      <c r="G406" s="1">
        <v>27985</v>
      </c>
      <c r="H406" s="1" t="s">
        <v>26</v>
      </c>
      <c r="I406" s="1">
        <v>867535</v>
      </c>
      <c r="J406" t="str">
        <f t="shared" si="6"/>
        <v>August</v>
      </c>
    </row>
    <row r="407" spans="1:10" x14ac:dyDescent="0.25">
      <c r="A407" s="1">
        <v>1029</v>
      </c>
      <c r="B407" s="1" t="s">
        <v>20</v>
      </c>
      <c r="C407" s="1" t="s">
        <v>10</v>
      </c>
      <c r="D407" s="1" t="s">
        <v>15</v>
      </c>
      <c r="E407" s="2">
        <v>45799</v>
      </c>
      <c r="F407" s="1">
        <v>39</v>
      </c>
      <c r="G407" s="1">
        <v>34831</v>
      </c>
      <c r="H407" s="1" t="s">
        <v>12</v>
      </c>
      <c r="I407" s="1">
        <v>1358409</v>
      </c>
      <c r="J407" t="str">
        <f t="shared" si="6"/>
        <v>May</v>
      </c>
    </row>
    <row r="408" spans="1:10" x14ac:dyDescent="0.25">
      <c r="A408" s="1">
        <v>1042</v>
      </c>
      <c r="B408" s="1" t="s">
        <v>24</v>
      </c>
      <c r="C408" s="1" t="s">
        <v>14</v>
      </c>
      <c r="D408" s="1" t="s">
        <v>11</v>
      </c>
      <c r="E408" s="2">
        <v>45343</v>
      </c>
      <c r="F408" s="1">
        <v>17</v>
      </c>
      <c r="G408" s="1">
        <v>42753</v>
      </c>
      <c r="H408" s="1" t="s">
        <v>30</v>
      </c>
      <c r="I408" s="1">
        <v>726801</v>
      </c>
      <c r="J408" t="str">
        <f t="shared" si="6"/>
        <v>February</v>
      </c>
    </row>
    <row r="409" spans="1:10" x14ac:dyDescent="0.25">
      <c r="A409" s="1">
        <v>1034</v>
      </c>
      <c r="B409" s="1" t="s">
        <v>32</v>
      </c>
      <c r="C409" s="1" t="s">
        <v>10</v>
      </c>
      <c r="D409" s="1" t="s">
        <v>11</v>
      </c>
      <c r="E409" s="2">
        <v>45486</v>
      </c>
      <c r="F409" s="1">
        <v>49</v>
      </c>
      <c r="G409" s="1">
        <v>12324</v>
      </c>
      <c r="H409" s="1" t="s">
        <v>28</v>
      </c>
      <c r="I409" s="1">
        <v>603876</v>
      </c>
      <c r="J409" t="str">
        <f t="shared" si="6"/>
        <v>July</v>
      </c>
    </row>
    <row r="410" spans="1:10" x14ac:dyDescent="0.25">
      <c r="A410" s="1">
        <v>1037</v>
      </c>
      <c r="B410" s="1" t="s">
        <v>24</v>
      </c>
      <c r="C410" s="1" t="s">
        <v>10</v>
      </c>
      <c r="D410" s="1" t="s">
        <v>15</v>
      </c>
      <c r="E410" s="2">
        <v>45285</v>
      </c>
      <c r="F410" s="1">
        <v>47</v>
      </c>
      <c r="G410" s="1">
        <v>41011</v>
      </c>
      <c r="H410" s="1" t="s">
        <v>28</v>
      </c>
      <c r="I410" s="1">
        <v>1927517</v>
      </c>
      <c r="J410" t="str">
        <f t="shared" si="6"/>
        <v>December</v>
      </c>
    </row>
    <row r="411" spans="1:10" x14ac:dyDescent="0.25">
      <c r="A411" s="1">
        <v>1042</v>
      </c>
      <c r="B411" s="1" t="s">
        <v>27</v>
      </c>
      <c r="C411" s="1" t="s">
        <v>10</v>
      </c>
      <c r="D411" s="1" t="s">
        <v>21</v>
      </c>
      <c r="E411" s="2">
        <v>45735</v>
      </c>
      <c r="F411" s="1">
        <v>49</v>
      </c>
      <c r="G411" s="1">
        <v>7946</v>
      </c>
      <c r="H411" s="1" t="s">
        <v>28</v>
      </c>
      <c r="I411" s="1">
        <v>389354</v>
      </c>
      <c r="J411" t="str">
        <f t="shared" si="6"/>
        <v>March</v>
      </c>
    </row>
    <row r="412" spans="1:10" x14ac:dyDescent="0.25">
      <c r="A412" s="1">
        <v>1020</v>
      </c>
      <c r="B412" s="1" t="s">
        <v>31</v>
      </c>
      <c r="C412" s="1" t="s">
        <v>14</v>
      </c>
      <c r="D412" s="1" t="s">
        <v>11</v>
      </c>
      <c r="E412" s="2">
        <v>45575</v>
      </c>
      <c r="F412" s="1">
        <v>36</v>
      </c>
      <c r="G412" s="1">
        <v>49209</v>
      </c>
      <c r="H412" s="1" t="s">
        <v>12</v>
      </c>
      <c r="I412" s="1">
        <v>1771524</v>
      </c>
      <c r="J412" t="str">
        <f t="shared" si="6"/>
        <v>October</v>
      </c>
    </row>
    <row r="413" spans="1:10" x14ac:dyDescent="0.25">
      <c r="A413" s="1">
        <v>1005</v>
      </c>
      <c r="B413" s="1" t="s">
        <v>27</v>
      </c>
      <c r="C413" s="1" t="s">
        <v>14</v>
      </c>
      <c r="D413" s="1" t="s">
        <v>21</v>
      </c>
      <c r="E413" s="2">
        <v>45614</v>
      </c>
      <c r="F413" s="1">
        <v>37</v>
      </c>
      <c r="G413" s="1">
        <v>13238</v>
      </c>
      <c r="H413" s="1" t="s">
        <v>12</v>
      </c>
      <c r="I413" s="1">
        <v>489806</v>
      </c>
      <c r="J413" t="str">
        <f t="shared" si="6"/>
        <v>November</v>
      </c>
    </row>
    <row r="414" spans="1:10" x14ac:dyDescent="0.25">
      <c r="A414" s="1">
        <v>1027</v>
      </c>
      <c r="B414" s="1" t="s">
        <v>17</v>
      </c>
      <c r="C414" s="1" t="s">
        <v>14</v>
      </c>
      <c r="D414" s="1" t="s">
        <v>15</v>
      </c>
      <c r="E414" s="2">
        <v>45412</v>
      </c>
      <c r="F414" s="1">
        <v>9</v>
      </c>
      <c r="G414" s="1">
        <v>4532</v>
      </c>
      <c r="H414" s="1" t="s">
        <v>16</v>
      </c>
      <c r="I414" s="1">
        <v>40788</v>
      </c>
      <c r="J414" t="str">
        <f t="shared" si="6"/>
        <v>April</v>
      </c>
    </row>
    <row r="415" spans="1:10" x14ac:dyDescent="0.25">
      <c r="A415" s="1">
        <v>1037</v>
      </c>
      <c r="B415" s="1" t="s">
        <v>27</v>
      </c>
      <c r="C415" s="1" t="s">
        <v>10</v>
      </c>
      <c r="D415" s="1" t="s">
        <v>15</v>
      </c>
      <c r="E415" s="2">
        <v>45141</v>
      </c>
      <c r="F415" s="1">
        <v>36</v>
      </c>
      <c r="G415" s="1">
        <v>33232</v>
      </c>
      <c r="H415" s="1" t="s">
        <v>23</v>
      </c>
      <c r="I415" s="1">
        <v>1196352</v>
      </c>
      <c r="J415" t="str">
        <f t="shared" si="6"/>
        <v>August</v>
      </c>
    </row>
    <row r="416" spans="1:10" x14ac:dyDescent="0.25">
      <c r="A416" s="1">
        <v>1037</v>
      </c>
      <c r="B416" s="1" t="s">
        <v>31</v>
      </c>
      <c r="C416" s="1" t="s">
        <v>14</v>
      </c>
      <c r="D416" s="1" t="s">
        <v>21</v>
      </c>
      <c r="E416" s="2">
        <v>45108</v>
      </c>
      <c r="F416" s="1">
        <v>43</v>
      </c>
      <c r="G416" s="1">
        <v>47748</v>
      </c>
      <c r="H416" s="1" t="s">
        <v>19</v>
      </c>
      <c r="I416" s="1">
        <v>2053164</v>
      </c>
      <c r="J416" t="str">
        <f t="shared" si="6"/>
        <v>July</v>
      </c>
    </row>
    <row r="417" spans="1:10" x14ac:dyDescent="0.25">
      <c r="A417" s="1">
        <v>1031</v>
      </c>
      <c r="B417" s="1" t="s">
        <v>17</v>
      </c>
      <c r="C417" s="1" t="s">
        <v>10</v>
      </c>
      <c r="D417" s="1" t="s">
        <v>21</v>
      </c>
      <c r="E417" s="2">
        <v>45119</v>
      </c>
      <c r="F417" s="1">
        <v>7</v>
      </c>
      <c r="G417" s="1">
        <v>6822</v>
      </c>
      <c r="H417" s="1" t="s">
        <v>12</v>
      </c>
      <c r="I417" s="1">
        <v>47754</v>
      </c>
      <c r="J417" t="str">
        <f t="shared" si="6"/>
        <v>July</v>
      </c>
    </row>
    <row r="418" spans="1:10" x14ac:dyDescent="0.25">
      <c r="A418" s="1">
        <v>1033</v>
      </c>
      <c r="B418" s="1" t="s">
        <v>20</v>
      </c>
      <c r="C418" s="1" t="s">
        <v>10</v>
      </c>
      <c r="D418" s="1" t="s">
        <v>15</v>
      </c>
      <c r="E418" s="2">
        <v>45291</v>
      </c>
      <c r="F418" s="1">
        <v>2</v>
      </c>
      <c r="G418" s="1">
        <v>9505</v>
      </c>
      <c r="H418" s="1" t="s">
        <v>29</v>
      </c>
      <c r="I418" s="1">
        <v>19010</v>
      </c>
      <c r="J418" t="str">
        <f t="shared" si="6"/>
        <v>December</v>
      </c>
    </row>
    <row r="419" spans="1:10" x14ac:dyDescent="0.25">
      <c r="A419" s="1">
        <v>1048</v>
      </c>
      <c r="B419" s="1" t="s">
        <v>25</v>
      </c>
      <c r="C419" s="1" t="s">
        <v>10</v>
      </c>
      <c r="D419" s="1" t="s">
        <v>21</v>
      </c>
      <c r="E419" s="2">
        <v>45592</v>
      </c>
      <c r="F419" s="1">
        <v>2</v>
      </c>
      <c r="G419" s="1">
        <v>34610</v>
      </c>
      <c r="H419" s="1" t="s">
        <v>16</v>
      </c>
      <c r="I419" s="1">
        <v>69220</v>
      </c>
      <c r="J419" t="str">
        <f t="shared" si="6"/>
        <v>October</v>
      </c>
    </row>
    <row r="420" spans="1:10" x14ac:dyDescent="0.25">
      <c r="A420" s="1">
        <v>1032</v>
      </c>
      <c r="B420" s="1" t="s">
        <v>20</v>
      </c>
      <c r="C420" s="1" t="s">
        <v>14</v>
      </c>
      <c r="D420" s="1" t="s">
        <v>15</v>
      </c>
      <c r="E420" s="2">
        <v>44959</v>
      </c>
      <c r="F420" s="1">
        <v>21</v>
      </c>
      <c r="G420" s="1">
        <v>17685</v>
      </c>
      <c r="H420" s="1" t="s">
        <v>16</v>
      </c>
      <c r="I420" s="1">
        <v>371385</v>
      </c>
      <c r="J420" t="str">
        <f t="shared" si="6"/>
        <v>February</v>
      </c>
    </row>
    <row r="421" spans="1:10" x14ac:dyDescent="0.25">
      <c r="A421" s="1">
        <v>1017</v>
      </c>
      <c r="B421" s="1" t="s">
        <v>32</v>
      </c>
      <c r="C421" s="1" t="s">
        <v>10</v>
      </c>
      <c r="D421" s="1" t="s">
        <v>21</v>
      </c>
      <c r="E421" s="2">
        <v>45831</v>
      </c>
      <c r="F421" s="1">
        <v>41</v>
      </c>
      <c r="G421" s="1">
        <v>43065</v>
      </c>
      <c r="H421" s="1" t="s">
        <v>23</v>
      </c>
      <c r="I421" s="1">
        <v>1765665</v>
      </c>
      <c r="J421" t="str">
        <f t="shared" si="6"/>
        <v>June</v>
      </c>
    </row>
    <row r="422" spans="1:10" x14ac:dyDescent="0.25">
      <c r="A422" s="1">
        <v>1043</v>
      </c>
      <c r="B422" s="1" t="s">
        <v>17</v>
      </c>
      <c r="C422" s="1" t="s">
        <v>10</v>
      </c>
      <c r="D422" s="1" t="s">
        <v>15</v>
      </c>
      <c r="E422" s="2">
        <v>45508</v>
      </c>
      <c r="F422" s="1">
        <v>12</v>
      </c>
      <c r="G422" s="1">
        <v>21613</v>
      </c>
      <c r="H422" s="1" t="s">
        <v>29</v>
      </c>
      <c r="I422" s="1">
        <v>259356</v>
      </c>
      <c r="J422" t="str">
        <f t="shared" si="6"/>
        <v>August</v>
      </c>
    </row>
    <row r="423" spans="1:10" x14ac:dyDescent="0.25">
      <c r="A423" s="1">
        <v>1023</v>
      </c>
      <c r="B423" s="1" t="s">
        <v>22</v>
      </c>
      <c r="C423" s="1" t="s">
        <v>14</v>
      </c>
      <c r="D423" s="1" t="s">
        <v>11</v>
      </c>
      <c r="E423" s="2">
        <v>45868</v>
      </c>
      <c r="F423" s="1">
        <v>12</v>
      </c>
      <c r="G423" s="1">
        <v>17798</v>
      </c>
      <c r="H423" s="1" t="s">
        <v>12</v>
      </c>
      <c r="I423" s="1">
        <v>213576</v>
      </c>
      <c r="J423" t="str">
        <f t="shared" si="6"/>
        <v>July</v>
      </c>
    </row>
    <row r="424" spans="1:10" x14ac:dyDescent="0.25">
      <c r="A424" s="1">
        <v>1048</v>
      </c>
      <c r="B424" s="1" t="s">
        <v>13</v>
      </c>
      <c r="C424" s="1" t="s">
        <v>10</v>
      </c>
      <c r="D424" s="1" t="s">
        <v>15</v>
      </c>
      <c r="E424" s="2">
        <v>44933</v>
      </c>
      <c r="F424" s="1">
        <v>42</v>
      </c>
      <c r="G424" s="1">
        <v>6966</v>
      </c>
      <c r="H424" s="1" t="s">
        <v>23</v>
      </c>
      <c r="I424" s="1">
        <v>292572</v>
      </c>
      <c r="J424" t="str">
        <f t="shared" si="6"/>
        <v>January</v>
      </c>
    </row>
    <row r="425" spans="1:10" x14ac:dyDescent="0.25">
      <c r="A425" s="1">
        <v>1045</v>
      </c>
      <c r="B425" s="1" t="s">
        <v>31</v>
      </c>
      <c r="C425" s="1" t="s">
        <v>14</v>
      </c>
      <c r="D425" s="1" t="s">
        <v>15</v>
      </c>
      <c r="E425" s="2">
        <v>45957</v>
      </c>
      <c r="F425" s="1">
        <v>4</v>
      </c>
      <c r="G425" s="1">
        <v>8687</v>
      </c>
      <c r="H425" s="1" t="s">
        <v>19</v>
      </c>
      <c r="I425" s="1">
        <v>34748</v>
      </c>
      <c r="J425" t="str">
        <f t="shared" si="6"/>
        <v>October</v>
      </c>
    </row>
    <row r="426" spans="1:10" x14ac:dyDescent="0.25">
      <c r="A426" s="1">
        <v>1041</v>
      </c>
      <c r="B426" s="1" t="s">
        <v>9</v>
      </c>
      <c r="C426" s="1" t="s">
        <v>14</v>
      </c>
      <c r="D426" s="1" t="s">
        <v>11</v>
      </c>
      <c r="E426" s="2">
        <v>45667</v>
      </c>
      <c r="F426" s="1">
        <v>36</v>
      </c>
      <c r="G426" s="1">
        <v>28068</v>
      </c>
      <c r="H426" s="1" t="s">
        <v>19</v>
      </c>
      <c r="I426" s="1">
        <v>1010448</v>
      </c>
      <c r="J426" t="str">
        <f t="shared" si="6"/>
        <v>January</v>
      </c>
    </row>
    <row r="427" spans="1:10" x14ac:dyDescent="0.25">
      <c r="A427" s="1">
        <v>1037</v>
      </c>
      <c r="B427" s="1" t="s">
        <v>25</v>
      </c>
      <c r="C427" s="1" t="s">
        <v>10</v>
      </c>
      <c r="D427" s="1" t="s">
        <v>15</v>
      </c>
      <c r="E427" s="2">
        <v>45040</v>
      </c>
      <c r="F427" s="1">
        <v>39</v>
      </c>
      <c r="G427" s="1">
        <v>14886</v>
      </c>
      <c r="H427" s="1" t="s">
        <v>26</v>
      </c>
      <c r="I427" s="1">
        <v>580554</v>
      </c>
      <c r="J427" t="str">
        <f t="shared" si="6"/>
        <v>April</v>
      </c>
    </row>
    <row r="428" spans="1:10" x14ac:dyDescent="0.25">
      <c r="A428" s="1">
        <v>1017</v>
      </c>
      <c r="B428" s="1" t="s">
        <v>24</v>
      </c>
      <c r="C428" s="1" t="s">
        <v>14</v>
      </c>
      <c r="D428" s="1" t="s">
        <v>11</v>
      </c>
      <c r="E428" s="2">
        <v>45647</v>
      </c>
      <c r="F428" s="1">
        <v>5</v>
      </c>
      <c r="G428" s="1">
        <v>27626</v>
      </c>
      <c r="H428" s="1" t="s">
        <v>29</v>
      </c>
      <c r="I428" s="1">
        <v>138130</v>
      </c>
      <c r="J428" t="str">
        <f t="shared" si="6"/>
        <v>December</v>
      </c>
    </row>
    <row r="429" spans="1:10" x14ac:dyDescent="0.25">
      <c r="A429" s="1">
        <v>1048</v>
      </c>
      <c r="B429" s="1" t="s">
        <v>27</v>
      </c>
      <c r="C429" s="1" t="s">
        <v>10</v>
      </c>
      <c r="D429" s="1" t="s">
        <v>11</v>
      </c>
      <c r="E429" s="2">
        <v>45613</v>
      </c>
      <c r="F429" s="1">
        <v>26</v>
      </c>
      <c r="G429" s="1">
        <v>8924</v>
      </c>
      <c r="H429" s="1" t="s">
        <v>16</v>
      </c>
      <c r="I429" s="1">
        <v>232024</v>
      </c>
      <c r="J429" t="str">
        <f t="shared" si="6"/>
        <v>November</v>
      </c>
    </row>
    <row r="430" spans="1:10" x14ac:dyDescent="0.25">
      <c r="A430" s="1">
        <v>1018</v>
      </c>
      <c r="B430" s="1" t="s">
        <v>32</v>
      </c>
      <c r="C430" s="1" t="s">
        <v>14</v>
      </c>
      <c r="D430" s="1" t="s">
        <v>21</v>
      </c>
      <c r="E430" s="2">
        <v>45459</v>
      </c>
      <c r="F430" s="1">
        <v>32</v>
      </c>
      <c r="G430" s="1">
        <v>21376</v>
      </c>
      <c r="H430" s="1" t="s">
        <v>23</v>
      </c>
      <c r="I430" s="1">
        <v>684032</v>
      </c>
      <c r="J430" t="str">
        <f t="shared" si="6"/>
        <v>June</v>
      </c>
    </row>
    <row r="431" spans="1:10" x14ac:dyDescent="0.25">
      <c r="A431" s="1">
        <v>1014</v>
      </c>
      <c r="B431" s="1" t="s">
        <v>17</v>
      </c>
      <c r="C431" s="1" t="s">
        <v>10</v>
      </c>
      <c r="D431" s="1" t="s">
        <v>15</v>
      </c>
      <c r="E431" s="2">
        <v>45293</v>
      </c>
      <c r="F431" s="1">
        <v>49</v>
      </c>
      <c r="G431" s="1">
        <v>19947</v>
      </c>
      <c r="H431" s="1" t="s">
        <v>26</v>
      </c>
      <c r="I431" s="1">
        <v>977403</v>
      </c>
      <c r="J431" t="str">
        <f t="shared" si="6"/>
        <v>January</v>
      </c>
    </row>
    <row r="432" spans="1:10" x14ac:dyDescent="0.25">
      <c r="A432" s="1">
        <v>1016</v>
      </c>
      <c r="B432" s="1" t="s">
        <v>13</v>
      </c>
      <c r="C432" s="1" t="s">
        <v>14</v>
      </c>
      <c r="D432" s="1" t="s">
        <v>11</v>
      </c>
      <c r="E432" s="2">
        <v>45110</v>
      </c>
      <c r="F432" s="1">
        <v>14</v>
      </c>
      <c r="G432" s="1">
        <v>12342</v>
      </c>
      <c r="H432" s="1" t="s">
        <v>29</v>
      </c>
      <c r="I432" s="1">
        <v>172788</v>
      </c>
      <c r="J432" t="str">
        <f t="shared" si="6"/>
        <v>July</v>
      </c>
    </row>
    <row r="433" spans="1:10" x14ac:dyDescent="0.25">
      <c r="A433" s="1">
        <v>1024</v>
      </c>
      <c r="B433" s="1" t="s">
        <v>32</v>
      </c>
      <c r="C433" s="1" t="s">
        <v>14</v>
      </c>
      <c r="D433" s="1" t="s">
        <v>18</v>
      </c>
      <c r="E433" s="2">
        <v>45214</v>
      </c>
      <c r="F433" s="1">
        <v>13</v>
      </c>
      <c r="G433" s="1">
        <v>15448</v>
      </c>
      <c r="H433" s="1" t="s">
        <v>16</v>
      </c>
      <c r="I433" s="1">
        <v>200824</v>
      </c>
      <c r="J433" t="str">
        <f t="shared" si="6"/>
        <v>October</v>
      </c>
    </row>
    <row r="434" spans="1:10" x14ac:dyDescent="0.25">
      <c r="A434" s="1">
        <v>1039</v>
      </c>
      <c r="B434" s="1" t="s">
        <v>31</v>
      </c>
      <c r="C434" s="1" t="s">
        <v>14</v>
      </c>
      <c r="D434" s="1" t="s">
        <v>15</v>
      </c>
      <c r="E434" s="2">
        <v>45297</v>
      </c>
      <c r="F434" s="1">
        <v>24</v>
      </c>
      <c r="G434" s="1">
        <v>25508</v>
      </c>
      <c r="H434" s="1" t="s">
        <v>19</v>
      </c>
      <c r="I434" s="1">
        <v>612192</v>
      </c>
      <c r="J434" t="str">
        <f t="shared" si="6"/>
        <v>January</v>
      </c>
    </row>
    <row r="435" spans="1:10" x14ac:dyDescent="0.25">
      <c r="A435" s="1">
        <v>1003</v>
      </c>
      <c r="B435" s="1" t="s">
        <v>25</v>
      </c>
      <c r="C435" s="1" t="s">
        <v>10</v>
      </c>
      <c r="D435" s="1" t="s">
        <v>15</v>
      </c>
      <c r="E435" s="2">
        <v>45748</v>
      </c>
      <c r="F435" s="1">
        <v>18</v>
      </c>
      <c r="G435" s="1">
        <v>1492</v>
      </c>
      <c r="H435" s="1" t="s">
        <v>16</v>
      </c>
      <c r="I435" s="1">
        <v>26856</v>
      </c>
      <c r="J435" t="str">
        <f t="shared" si="6"/>
        <v>April</v>
      </c>
    </row>
    <row r="436" spans="1:10" x14ac:dyDescent="0.25">
      <c r="A436" s="1">
        <v>1013</v>
      </c>
      <c r="B436" s="1" t="s">
        <v>25</v>
      </c>
      <c r="C436" s="1" t="s">
        <v>14</v>
      </c>
      <c r="D436" s="1" t="s">
        <v>18</v>
      </c>
      <c r="E436" s="2">
        <v>44961</v>
      </c>
      <c r="F436" s="1">
        <v>13</v>
      </c>
      <c r="G436" s="1">
        <v>29820</v>
      </c>
      <c r="H436" s="1" t="s">
        <v>28</v>
      </c>
      <c r="I436" s="1">
        <v>387660</v>
      </c>
      <c r="J436" t="str">
        <f t="shared" si="6"/>
        <v>February</v>
      </c>
    </row>
    <row r="437" spans="1:10" x14ac:dyDescent="0.25">
      <c r="A437" s="1">
        <v>1039</v>
      </c>
      <c r="B437" s="1" t="s">
        <v>24</v>
      </c>
      <c r="C437" s="1" t="s">
        <v>14</v>
      </c>
      <c r="D437" s="1" t="s">
        <v>11</v>
      </c>
      <c r="E437" s="2">
        <v>44949</v>
      </c>
      <c r="F437" s="1">
        <v>47</v>
      </c>
      <c r="G437" s="1">
        <v>24771</v>
      </c>
      <c r="H437" s="1" t="s">
        <v>16</v>
      </c>
      <c r="I437" s="1">
        <v>1164237</v>
      </c>
      <c r="J437" t="str">
        <f t="shared" si="6"/>
        <v>January</v>
      </c>
    </row>
    <row r="438" spans="1:10" x14ac:dyDescent="0.25">
      <c r="A438" s="1">
        <v>1021</v>
      </c>
      <c r="B438" s="1" t="s">
        <v>32</v>
      </c>
      <c r="C438" s="1" t="s">
        <v>14</v>
      </c>
      <c r="D438" s="1" t="s">
        <v>15</v>
      </c>
      <c r="E438" s="2">
        <v>45276</v>
      </c>
      <c r="F438" s="1">
        <v>47</v>
      </c>
      <c r="G438" s="1">
        <v>36910</v>
      </c>
      <c r="H438" s="1" t="s">
        <v>16</v>
      </c>
      <c r="I438" s="1">
        <v>1734770</v>
      </c>
      <c r="J438" t="str">
        <f t="shared" si="6"/>
        <v>December</v>
      </c>
    </row>
    <row r="439" spans="1:10" x14ac:dyDescent="0.25">
      <c r="A439" s="1">
        <v>1019</v>
      </c>
      <c r="B439" s="1" t="s">
        <v>17</v>
      </c>
      <c r="C439" s="1" t="s">
        <v>10</v>
      </c>
      <c r="D439" s="1" t="s">
        <v>18</v>
      </c>
      <c r="E439" s="2">
        <v>45256</v>
      </c>
      <c r="F439" s="1">
        <v>32</v>
      </c>
      <c r="G439" s="1">
        <v>19697</v>
      </c>
      <c r="H439" s="1" t="s">
        <v>29</v>
      </c>
      <c r="I439" s="1">
        <v>630304</v>
      </c>
      <c r="J439" t="str">
        <f t="shared" si="6"/>
        <v>November</v>
      </c>
    </row>
    <row r="440" spans="1:10" x14ac:dyDescent="0.25">
      <c r="A440" s="1">
        <v>1016</v>
      </c>
      <c r="B440" s="1" t="s">
        <v>22</v>
      </c>
      <c r="C440" s="1" t="s">
        <v>14</v>
      </c>
      <c r="D440" s="1" t="s">
        <v>15</v>
      </c>
      <c r="E440" s="2">
        <v>45763</v>
      </c>
      <c r="F440" s="1">
        <v>40</v>
      </c>
      <c r="G440" s="1">
        <v>33053</v>
      </c>
      <c r="H440" s="1" t="s">
        <v>26</v>
      </c>
      <c r="I440" s="1">
        <v>1322120</v>
      </c>
      <c r="J440" t="str">
        <f t="shared" si="6"/>
        <v>April</v>
      </c>
    </row>
    <row r="441" spans="1:10" x14ac:dyDescent="0.25">
      <c r="A441" s="1">
        <v>1028</v>
      </c>
      <c r="B441" s="1" t="s">
        <v>22</v>
      </c>
      <c r="C441" s="1" t="s">
        <v>10</v>
      </c>
      <c r="D441" s="1" t="s">
        <v>21</v>
      </c>
      <c r="E441" s="2">
        <v>45689</v>
      </c>
      <c r="F441" s="1">
        <v>24</v>
      </c>
      <c r="G441" s="1">
        <v>38097</v>
      </c>
      <c r="H441" s="1" t="s">
        <v>30</v>
      </c>
      <c r="I441" s="1">
        <v>914328</v>
      </c>
      <c r="J441" t="str">
        <f t="shared" si="6"/>
        <v>February</v>
      </c>
    </row>
    <row r="442" spans="1:10" x14ac:dyDescent="0.25">
      <c r="A442" s="1">
        <v>1005</v>
      </c>
      <c r="B442" s="1" t="s">
        <v>27</v>
      </c>
      <c r="C442" s="1" t="s">
        <v>10</v>
      </c>
      <c r="D442" s="1" t="s">
        <v>15</v>
      </c>
      <c r="E442" s="2">
        <v>45352</v>
      </c>
      <c r="F442" s="1">
        <v>49</v>
      </c>
      <c r="G442" s="1">
        <v>2687</v>
      </c>
      <c r="H442" s="1" t="s">
        <v>12</v>
      </c>
      <c r="I442" s="1">
        <v>131663</v>
      </c>
      <c r="J442" t="str">
        <f t="shared" si="6"/>
        <v>March</v>
      </c>
    </row>
    <row r="443" spans="1:10" x14ac:dyDescent="0.25">
      <c r="A443" s="1">
        <v>1008</v>
      </c>
      <c r="B443" s="1" t="s">
        <v>17</v>
      </c>
      <c r="C443" s="1" t="s">
        <v>10</v>
      </c>
      <c r="D443" s="1" t="s">
        <v>11</v>
      </c>
      <c r="E443" s="2">
        <v>45316</v>
      </c>
      <c r="F443" s="1">
        <v>18</v>
      </c>
      <c r="G443" s="1">
        <v>5655</v>
      </c>
      <c r="H443" s="1" t="s">
        <v>28</v>
      </c>
      <c r="I443" s="1">
        <v>101790</v>
      </c>
      <c r="J443" t="str">
        <f t="shared" si="6"/>
        <v>January</v>
      </c>
    </row>
    <row r="444" spans="1:10" x14ac:dyDescent="0.25">
      <c r="A444" s="1">
        <v>1015</v>
      </c>
      <c r="B444" s="1" t="s">
        <v>13</v>
      </c>
      <c r="C444" s="1" t="s">
        <v>10</v>
      </c>
      <c r="D444" s="1" t="s">
        <v>11</v>
      </c>
      <c r="E444" s="2">
        <v>45144</v>
      </c>
      <c r="F444" s="1">
        <v>14</v>
      </c>
      <c r="G444" s="1">
        <v>11031</v>
      </c>
      <c r="H444" s="1" t="s">
        <v>16</v>
      </c>
      <c r="I444" s="1">
        <v>154434</v>
      </c>
      <c r="J444" t="str">
        <f t="shared" si="6"/>
        <v>August</v>
      </c>
    </row>
    <row r="445" spans="1:10" x14ac:dyDescent="0.25">
      <c r="A445" s="1">
        <v>1009</v>
      </c>
      <c r="B445" s="1" t="s">
        <v>31</v>
      </c>
      <c r="C445" s="1" t="s">
        <v>10</v>
      </c>
      <c r="D445" s="1" t="s">
        <v>15</v>
      </c>
      <c r="E445" s="2">
        <v>45433</v>
      </c>
      <c r="F445" s="1">
        <v>32</v>
      </c>
      <c r="G445" s="1">
        <v>15046</v>
      </c>
      <c r="H445" s="1" t="s">
        <v>19</v>
      </c>
      <c r="I445" s="1">
        <v>481472</v>
      </c>
      <c r="J445" t="str">
        <f t="shared" si="6"/>
        <v>May</v>
      </c>
    </row>
    <row r="446" spans="1:10" x14ac:dyDescent="0.25">
      <c r="A446" s="1">
        <v>1018</v>
      </c>
      <c r="B446" s="1" t="s">
        <v>20</v>
      </c>
      <c r="C446" s="1" t="s">
        <v>14</v>
      </c>
      <c r="D446" s="1" t="s">
        <v>18</v>
      </c>
      <c r="E446" s="2">
        <v>45848</v>
      </c>
      <c r="F446" s="1">
        <v>26</v>
      </c>
      <c r="G446" s="1">
        <v>46758</v>
      </c>
      <c r="H446" s="1" t="s">
        <v>30</v>
      </c>
      <c r="I446" s="1">
        <v>1215708</v>
      </c>
      <c r="J446" t="str">
        <f t="shared" si="6"/>
        <v>July</v>
      </c>
    </row>
    <row r="447" spans="1:10" x14ac:dyDescent="0.25">
      <c r="A447" s="1">
        <v>1020</v>
      </c>
      <c r="B447" s="1" t="s">
        <v>24</v>
      </c>
      <c r="C447" s="1" t="s">
        <v>14</v>
      </c>
      <c r="D447" s="1" t="s">
        <v>18</v>
      </c>
      <c r="E447" s="2">
        <v>45620</v>
      </c>
      <c r="F447" s="1">
        <v>5</v>
      </c>
      <c r="G447" s="1">
        <v>42326</v>
      </c>
      <c r="H447" s="1" t="s">
        <v>19</v>
      </c>
      <c r="I447" s="1">
        <v>211630</v>
      </c>
      <c r="J447" t="str">
        <f t="shared" si="6"/>
        <v>November</v>
      </c>
    </row>
    <row r="448" spans="1:10" x14ac:dyDescent="0.25">
      <c r="A448" s="1">
        <v>1036</v>
      </c>
      <c r="B448" s="1" t="s">
        <v>17</v>
      </c>
      <c r="C448" s="1" t="s">
        <v>10</v>
      </c>
      <c r="D448" s="1" t="s">
        <v>18</v>
      </c>
      <c r="E448" s="2">
        <v>45771</v>
      </c>
      <c r="F448" s="1">
        <v>2</v>
      </c>
      <c r="G448" s="1">
        <v>33216</v>
      </c>
      <c r="H448" s="1" t="s">
        <v>12</v>
      </c>
      <c r="I448" s="1">
        <v>66432</v>
      </c>
      <c r="J448" t="str">
        <f t="shared" si="6"/>
        <v>April</v>
      </c>
    </row>
    <row r="449" spans="1:10" x14ac:dyDescent="0.25">
      <c r="A449" s="1">
        <v>1045</v>
      </c>
      <c r="B449" s="1" t="s">
        <v>31</v>
      </c>
      <c r="C449" s="1" t="s">
        <v>10</v>
      </c>
      <c r="D449" s="1" t="s">
        <v>11</v>
      </c>
      <c r="E449" s="2">
        <v>45877</v>
      </c>
      <c r="F449" s="1">
        <v>32</v>
      </c>
      <c r="G449" s="1">
        <v>25651</v>
      </c>
      <c r="H449" s="1" t="s">
        <v>16</v>
      </c>
      <c r="I449" s="1">
        <v>820832</v>
      </c>
      <c r="J449" t="str">
        <f t="shared" si="6"/>
        <v>August</v>
      </c>
    </row>
    <row r="450" spans="1:10" x14ac:dyDescent="0.25">
      <c r="A450" s="1">
        <v>1044</v>
      </c>
      <c r="B450" s="1" t="s">
        <v>9</v>
      </c>
      <c r="C450" s="1" t="s">
        <v>10</v>
      </c>
      <c r="D450" s="1" t="s">
        <v>15</v>
      </c>
      <c r="E450" s="2">
        <v>45846</v>
      </c>
      <c r="F450" s="1">
        <v>2</v>
      </c>
      <c r="G450" s="1">
        <v>37547</v>
      </c>
      <c r="H450" s="1" t="s">
        <v>26</v>
      </c>
      <c r="I450" s="1">
        <v>75094</v>
      </c>
      <c r="J450" t="str">
        <f t="shared" si="6"/>
        <v>July</v>
      </c>
    </row>
    <row r="451" spans="1:10" x14ac:dyDescent="0.25">
      <c r="A451" s="1">
        <v>1026</v>
      </c>
      <c r="B451" s="1" t="s">
        <v>31</v>
      </c>
      <c r="C451" s="1" t="s">
        <v>10</v>
      </c>
      <c r="D451" s="1" t="s">
        <v>21</v>
      </c>
      <c r="E451" s="2">
        <v>45789</v>
      </c>
      <c r="F451" s="1">
        <v>41</v>
      </c>
      <c r="G451" s="1">
        <v>29458</v>
      </c>
      <c r="H451" s="1" t="s">
        <v>19</v>
      </c>
      <c r="I451" s="1">
        <v>1207778</v>
      </c>
      <c r="J451" t="str">
        <f t="shared" ref="J451:J501" si="7">TEXT(E451,"mmmm")</f>
        <v>May</v>
      </c>
    </row>
    <row r="452" spans="1:10" x14ac:dyDescent="0.25">
      <c r="A452" s="1">
        <v>1002</v>
      </c>
      <c r="B452" s="1" t="s">
        <v>32</v>
      </c>
      <c r="C452" s="1" t="s">
        <v>14</v>
      </c>
      <c r="D452" s="1" t="s">
        <v>21</v>
      </c>
      <c r="E452" s="2">
        <v>45140</v>
      </c>
      <c r="F452" s="1">
        <v>7</v>
      </c>
      <c r="G452" s="1">
        <v>39360</v>
      </c>
      <c r="H452" s="1" t="s">
        <v>28</v>
      </c>
      <c r="I452" s="1">
        <v>275520</v>
      </c>
      <c r="J452" t="str">
        <f t="shared" si="7"/>
        <v>August</v>
      </c>
    </row>
    <row r="453" spans="1:10" x14ac:dyDescent="0.25">
      <c r="A453" s="1">
        <v>1038</v>
      </c>
      <c r="B453" s="1" t="s">
        <v>24</v>
      </c>
      <c r="C453" s="1" t="s">
        <v>10</v>
      </c>
      <c r="D453" s="1" t="s">
        <v>21</v>
      </c>
      <c r="E453" s="2">
        <v>45392</v>
      </c>
      <c r="F453" s="1">
        <v>15</v>
      </c>
      <c r="G453" s="1">
        <v>36730</v>
      </c>
      <c r="H453" s="1" t="s">
        <v>19</v>
      </c>
      <c r="I453" s="1">
        <v>550950</v>
      </c>
      <c r="J453" t="str">
        <f t="shared" si="7"/>
        <v>April</v>
      </c>
    </row>
    <row r="454" spans="1:10" x14ac:dyDescent="0.25">
      <c r="A454" s="1">
        <v>1006</v>
      </c>
      <c r="B454" s="1" t="s">
        <v>31</v>
      </c>
      <c r="C454" s="1" t="s">
        <v>10</v>
      </c>
      <c r="D454" s="1" t="s">
        <v>11</v>
      </c>
      <c r="E454" s="2">
        <v>45630</v>
      </c>
      <c r="F454" s="1">
        <v>48</v>
      </c>
      <c r="G454" s="1">
        <v>46171</v>
      </c>
      <c r="H454" s="1" t="s">
        <v>23</v>
      </c>
      <c r="I454" s="1">
        <v>2216208</v>
      </c>
      <c r="J454" t="str">
        <f t="shared" si="7"/>
        <v>December</v>
      </c>
    </row>
    <row r="455" spans="1:10" x14ac:dyDescent="0.25">
      <c r="A455" s="1">
        <v>1003</v>
      </c>
      <c r="B455" s="1" t="s">
        <v>31</v>
      </c>
      <c r="C455" s="1" t="s">
        <v>14</v>
      </c>
      <c r="D455" s="1" t="s">
        <v>21</v>
      </c>
      <c r="E455" s="2">
        <v>45989</v>
      </c>
      <c r="F455" s="1">
        <v>39</v>
      </c>
      <c r="G455" s="1">
        <v>5313</v>
      </c>
      <c r="H455" s="1" t="s">
        <v>16</v>
      </c>
      <c r="I455" s="1">
        <v>207207</v>
      </c>
      <c r="J455" t="str">
        <f t="shared" si="7"/>
        <v>November</v>
      </c>
    </row>
    <row r="456" spans="1:10" x14ac:dyDescent="0.25">
      <c r="A456" s="1">
        <v>1021</v>
      </c>
      <c r="B456" s="1" t="s">
        <v>32</v>
      </c>
      <c r="C456" s="1" t="s">
        <v>10</v>
      </c>
      <c r="D456" s="1" t="s">
        <v>21</v>
      </c>
      <c r="E456" s="2">
        <v>45048</v>
      </c>
      <c r="F456" s="1">
        <v>40</v>
      </c>
      <c r="G456" s="1">
        <v>28355</v>
      </c>
      <c r="H456" s="1" t="s">
        <v>26</v>
      </c>
      <c r="I456" s="1">
        <v>1134200</v>
      </c>
      <c r="J456" t="str">
        <f t="shared" si="7"/>
        <v>May</v>
      </c>
    </row>
    <row r="457" spans="1:10" x14ac:dyDescent="0.25">
      <c r="A457" s="1">
        <v>1023</v>
      </c>
      <c r="B457" s="1" t="s">
        <v>9</v>
      </c>
      <c r="C457" s="1" t="s">
        <v>10</v>
      </c>
      <c r="D457" s="1" t="s">
        <v>18</v>
      </c>
      <c r="E457" s="2">
        <v>45165</v>
      </c>
      <c r="F457" s="1">
        <v>30</v>
      </c>
      <c r="G457" s="1">
        <v>9663</v>
      </c>
      <c r="H457" s="1" t="s">
        <v>30</v>
      </c>
      <c r="I457" s="1">
        <v>289890</v>
      </c>
      <c r="J457" t="str">
        <f t="shared" si="7"/>
        <v>August</v>
      </c>
    </row>
    <row r="458" spans="1:10" x14ac:dyDescent="0.25">
      <c r="A458" s="1">
        <v>1026</v>
      </c>
      <c r="B458" s="1" t="s">
        <v>22</v>
      </c>
      <c r="C458" s="1" t="s">
        <v>10</v>
      </c>
      <c r="D458" s="1" t="s">
        <v>18</v>
      </c>
      <c r="E458" s="2">
        <v>45695</v>
      </c>
      <c r="F458" s="1">
        <v>23</v>
      </c>
      <c r="G458" s="1">
        <v>5026</v>
      </c>
      <c r="H458" s="1" t="s">
        <v>16</v>
      </c>
      <c r="I458" s="1">
        <v>115598</v>
      </c>
      <c r="J458" t="str">
        <f t="shared" si="7"/>
        <v>February</v>
      </c>
    </row>
    <row r="459" spans="1:10" x14ac:dyDescent="0.25">
      <c r="A459" s="1">
        <v>1049</v>
      </c>
      <c r="B459" s="1" t="s">
        <v>27</v>
      </c>
      <c r="C459" s="1" t="s">
        <v>10</v>
      </c>
      <c r="D459" s="1" t="s">
        <v>21</v>
      </c>
      <c r="E459" s="2">
        <v>45305</v>
      </c>
      <c r="F459" s="1">
        <v>27</v>
      </c>
      <c r="G459" s="1">
        <v>27357</v>
      </c>
      <c r="H459" s="1" t="s">
        <v>29</v>
      </c>
      <c r="I459" s="1">
        <v>738639</v>
      </c>
      <c r="J459" t="str">
        <f t="shared" si="7"/>
        <v>January</v>
      </c>
    </row>
    <row r="460" spans="1:10" x14ac:dyDescent="0.25">
      <c r="A460" s="1">
        <v>1022</v>
      </c>
      <c r="B460" s="1" t="s">
        <v>25</v>
      </c>
      <c r="C460" s="1" t="s">
        <v>14</v>
      </c>
      <c r="D460" s="1" t="s">
        <v>18</v>
      </c>
      <c r="E460" s="2">
        <v>45672</v>
      </c>
      <c r="F460" s="1">
        <v>13</v>
      </c>
      <c r="G460" s="1">
        <v>48294</v>
      </c>
      <c r="H460" s="1" t="s">
        <v>28</v>
      </c>
      <c r="I460" s="1">
        <v>627822</v>
      </c>
      <c r="J460" t="str">
        <f t="shared" si="7"/>
        <v>January</v>
      </c>
    </row>
    <row r="461" spans="1:10" x14ac:dyDescent="0.25">
      <c r="A461" s="1">
        <v>1020</v>
      </c>
      <c r="B461" s="1" t="s">
        <v>32</v>
      </c>
      <c r="C461" s="1" t="s">
        <v>14</v>
      </c>
      <c r="D461" s="1" t="s">
        <v>15</v>
      </c>
      <c r="E461" s="2">
        <v>45549</v>
      </c>
      <c r="F461" s="1">
        <v>28</v>
      </c>
      <c r="G461" s="1">
        <v>4821</v>
      </c>
      <c r="H461" s="1" t="s">
        <v>19</v>
      </c>
      <c r="I461" s="1">
        <v>134988</v>
      </c>
      <c r="J461" t="str">
        <f t="shared" si="7"/>
        <v>September</v>
      </c>
    </row>
    <row r="462" spans="1:10" x14ac:dyDescent="0.25">
      <c r="A462" s="1">
        <v>1045</v>
      </c>
      <c r="B462" s="1" t="s">
        <v>9</v>
      </c>
      <c r="C462" s="1" t="s">
        <v>10</v>
      </c>
      <c r="D462" s="1" t="s">
        <v>15</v>
      </c>
      <c r="E462" s="2">
        <v>45591</v>
      </c>
      <c r="F462" s="1">
        <v>27</v>
      </c>
      <c r="G462" s="1">
        <v>5634</v>
      </c>
      <c r="H462" s="1" t="s">
        <v>26</v>
      </c>
      <c r="I462" s="1">
        <v>152118</v>
      </c>
      <c r="J462" t="str">
        <f t="shared" si="7"/>
        <v>October</v>
      </c>
    </row>
    <row r="463" spans="1:10" x14ac:dyDescent="0.25">
      <c r="A463" s="1">
        <v>1030</v>
      </c>
      <c r="B463" s="1" t="s">
        <v>25</v>
      </c>
      <c r="C463" s="1" t="s">
        <v>14</v>
      </c>
      <c r="D463" s="1" t="s">
        <v>18</v>
      </c>
      <c r="E463" s="2">
        <v>45558</v>
      </c>
      <c r="F463" s="1">
        <v>30</v>
      </c>
      <c r="G463" s="1">
        <v>23959</v>
      </c>
      <c r="H463" s="1" t="s">
        <v>12</v>
      </c>
      <c r="I463" s="1">
        <v>718770</v>
      </c>
      <c r="J463" t="str">
        <f t="shared" si="7"/>
        <v>September</v>
      </c>
    </row>
    <row r="464" spans="1:10" x14ac:dyDescent="0.25">
      <c r="A464" s="1">
        <v>1032</v>
      </c>
      <c r="B464" s="1" t="s">
        <v>31</v>
      </c>
      <c r="C464" s="1" t="s">
        <v>10</v>
      </c>
      <c r="D464" s="1" t="s">
        <v>18</v>
      </c>
      <c r="E464" s="2">
        <v>45392</v>
      </c>
      <c r="F464" s="1">
        <v>2</v>
      </c>
      <c r="G464" s="1">
        <v>28471</v>
      </c>
      <c r="H464" s="1" t="s">
        <v>16</v>
      </c>
      <c r="I464" s="1">
        <v>56942</v>
      </c>
      <c r="J464" t="str">
        <f t="shared" si="7"/>
        <v>April</v>
      </c>
    </row>
    <row r="465" spans="1:10" x14ac:dyDescent="0.25">
      <c r="A465" s="1">
        <v>1048</v>
      </c>
      <c r="B465" s="1" t="s">
        <v>24</v>
      </c>
      <c r="C465" s="1" t="s">
        <v>14</v>
      </c>
      <c r="D465" s="1" t="s">
        <v>15</v>
      </c>
      <c r="E465" s="2">
        <v>45602</v>
      </c>
      <c r="F465" s="1">
        <v>30</v>
      </c>
      <c r="G465" s="1">
        <v>41906</v>
      </c>
      <c r="H465" s="1" t="s">
        <v>19</v>
      </c>
      <c r="I465" s="1">
        <v>1257180</v>
      </c>
      <c r="J465" t="str">
        <f t="shared" si="7"/>
        <v>November</v>
      </c>
    </row>
    <row r="466" spans="1:10" x14ac:dyDescent="0.25">
      <c r="A466" s="1">
        <v>1002</v>
      </c>
      <c r="B466" s="1" t="s">
        <v>25</v>
      </c>
      <c r="C466" s="1" t="s">
        <v>10</v>
      </c>
      <c r="D466" s="1" t="s">
        <v>11</v>
      </c>
      <c r="E466" s="2">
        <v>45604</v>
      </c>
      <c r="F466" s="1">
        <v>3</v>
      </c>
      <c r="G466" s="1">
        <v>38731</v>
      </c>
      <c r="H466" s="1" t="s">
        <v>12</v>
      </c>
      <c r="I466" s="1">
        <v>116193</v>
      </c>
      <c r="J466" t="str">
        <f t="shared" si="7"/>
        <v>November</v>
      </c>
    </row>
    <row r="467" spans="1:10" x14ac:dyDescent="0.25">
      <c r="A467" s="1">
        <v>1048</v>
      </c>
      <c r="B467" s="1" t="s">
        <v>13</v>
      </c>
      <c r="C467" s="1" t="s">
        <v>14</v>
      </c>
      <c r="D467" s="1" t="s">
        <v>21</v>
      </c>
      <c r="E467" s="2">
        <v>46015</v>
      </c>
      <c r="F467" s="1">
        <v>22</v>
      </c>
      <c r="G467" s="1">
        <v>20442</v>
      </c>
      <c r="H467" s="1" t="s">
        <v>30</v>
      </c>
      <c r="I467" s="1">
        <v>449724</v>
      </c>
      <c r="J467" t="str">
        <f t="shared" si="7"/>
        <v>December</v>
      </c>
    </row>
    <row r="468" spans="1:10" x14ac:dyDescent="0.25">
      <c r="A468" s="1">
        <v>1040</v>
      </c>
      <c r="B468" s="1" t="s">
        <v>9</v>
      </c>
      <c r="C468" s="1" t="s">
        <v>10</v>
      </c>
      <c r="D468" s="1" t="s">
        <v>18</v>
      </c>
      <c r="E468" s="2">
        <v>45009</v>
      </c>
      <c r="F468" s="1">
        <v>29</v>
      </c>
      <c r="G468" s="1">
        <v>13544</v>
      </c>
      <c r="H468" s="1" t="s">
        <v>29</v>
      </c>
      <c r="I468" s="1">
        <v>392776</v>
      </c>
      <c r="J468" t="str">
        <f t="shared" si="7"/>
        <v>March</v>
      </c>
    </row>
    <row r="469" spans="1:10" x14ac:dyDescent="0.25">
      <c r="A469" s="1">
        <v>1039</v>
      </c>
      <c r="B469" s="1" t="s">
        <v>31</v>
      </c>
      <c r="C469" s="1" t="s">
        <v>14</v>
      </c>
      <c r="D469" s="1" t="s">
        <v>11</v>
      </c>
      <c r="E469" s="2">
        <v>45220</v>
      </c>
      <c r="F469" s="1">
        <v>14</v>
      </c>
      <c r="G469" s="1">
        <v>27107</v>
      </c>
      <c r="H469" s="1" t="s">
        <v>19</v>
      </c>
      <c r="I469" s="1">
        <v>379498</v>
      </c>
      <c r="J469" t="str">
        <f t="shared" si="7"/>
        <v>October</v>
      </c>
    </row>
    <row r="470" spans="1:10" x14ac:dyDescent="0.25">
      <c r="A470" s="1">
        <v>1038</v>
      </c>
      <c r="B470" s="1" t="s">
        <v>22</v>
      </c>
      <c r="C470" s="1" t="s">
        <v>10</v>
      </c>
      <c r="D470" s="1" t="s">
        <v>21</v>
      </c>
      <c r="E470" s="2">
        <v>45997</v>
      </c>
      <c r="F470" s="1">
        <v>45</v>
      </c>
      <c r="G470" s="1">
        <v>37748</v>
      </c>
      <c r="H470" s="1" t="s">
        <v>29</v>
      </c>
      <c r="I470" s="1">
        <v>1698660</v>
      </c>
      <c r="J470" t="str">
        <f t="shared" si="7"/>
        <v>December</v>
      </c>
    </row>
    <row r="471" spans="1:10" x14ac:dyDescent="0.25">
      <c r="A471" s="1">
        <v>1030</v>
      </c>
      <c r="B471" s="1" t="s">
        <v>9</v>
      </c>
      <c r="C471" s="1" t="s">
        <v>14</v>
      </c>
      <c r="D471" s="1" t="s">
        <v>18</v>
      </c>
      <c r="E471" s="2">
        <v>45181</v>
      </c>
      <c r="F471" s="1">
        <v>15</v>
      </c>
      <c r="G471" s="1">
        <v>8841</v>
      </c>
      <c r="H471" s="1" t="s">
        <v>29</v>
      </c>
      <c r="I471" s="1">
        <v>132615</v>
      </c>
      <c r="J471" t="str">
        <f t="shared" si="7"/>
        <v>September</v>
      </c>
    </row>
    <row r="472" spans="1:10" x14ac:dyDescent="0.25">
      <c r="A472" s="1">
        <v>1032</v>
      </c>
      <c r="B472" s="1" t="s">
        <v>17</v>
      </c>
      <c r="C472" s="1" t="s">
        <v>10</v>
      </c>
      <c r="D472" s="1" t="s">
        <v>18</v>
      </c>
      <c r="E472" s="2">
        <v>45835</v>
      </c>
      <c r="F472" s="1">
        <v>14</v>
      </c>
      <c r="G472" s="1">
        <v>20852</v>
      </c>
      <c r="H472" s="1" t="s">
        <v>12</v>
      </c>
      <c r="I472" s="1">
        <v>291928</v>
      </c>
      <c r="J472" t="str">
        <f t="shared" si="7"/>
        <v>June</v>
      </c>
    </row>
    <row r="473" spans="1:10" x14ac:dyDescent="0.25">
      <c r="A473" s="1">
        <v>1027</v>
      </c>
      <c r="B473" s="1" t="s">
        <v>25</v>
      </c>
      <c r="C473" s="1" t="s">
        <v>10</v>
      </c>
      <c r="D473" s="1" t="s">
        <v>11</v>
      </c>
      <c r="E473" s="2">
        <v>45268</v>
      </c>
      <c r="F473" s="1">
        <v>49</v>
      </c>
      <c r="G473" s="1">
        <v>12097</v>
      </c>
      <c r="H473" s="1" t="s">
        <v>19</v>
      </c>
      <c r="I473" s="1">
        <v>592753</v>
      </c>
      <c r="J473" t="str">
        <f t="shared" si="7"/>
        <v>December</v>
      </c>
    </row>
    <row r="474" spans="1:10" x14ac:dyDescent="0.25">
      <c r="A474" s="1">
        <v>1012</v>
      </c>
      <c r="B474" s="1" t="s">
        <v>9</v>
      </c>
      <c r="C474" s="1" t="s">
        <v>14</v>
      </c>
      <c r="D474" s="1" t="s">
        <v>21</v>
      </c>
      <c r="E474" s="2">
        <v>45472</v>
      </c>
      <c r="F474" s="1">
        <v>34</v>
      </c>
      <c r="G474" s="1">
        <v>27769</v>
      </c>
      <c r="H474" s="1" t="s">
        <v>23</v>
      </c>
      <c r="I474" s="1">
        <v>944146</v>
      </c>
      <c r="J474" t="str">
        <f t="shared" si="7"/>
        <v>June</v>
      </c>
    </row>
    <row r="475" spans="1:10" x14ac:dyDescent="0.25">
      <c r="A475" s="1">
        <v>1046</v>
      </c>
      <c r="B475" s="1" t="s">
        <v>31</v>
      </c>
      <c r="C475" s="1" t="s">
        <v>10</v>
      </c>
      <c r="D475" s="1" t="s">
        <v>18</v>
      </c>
      <c r="E475" s="2">
        <v>45589</v>
      </c>
      <c r="F475" s="1">
        <v>48</v>
      </c>
      <c r="G475" s="1">
        <v>42836</v>
      </c>
      <c r="H475" s="1" t="s">
        <v>19</v>
      </c>
      <c r="I475" s="1">
        <v>2056128</v>
      </c>
      <c r="J475" t="str">
        <f t="shared" si="7"/>
        <v>October</v>
      </c>
    </row>
    <row r="476" spans="1:10" x14ac:dyDescent="0.25">
      <c r="A476" s="1">
        <v>1023</v>
      </c>
      <c r="B476" s="1" t="s">
        <v>27</v>
      </c>
      <c r="C476" s="1" t="s">
        <v>10</v>
      </c>
      <c r="D476" s="1" t="s">
        <v>21</v>
      </c>
      <c r="E476" s="2">
        <v>45159</v>
      </c>
      <c r="F476" s="1">
        <v>3</v>
      </c>
      <c r="G476" s="1">
        <v>27729</v>
      </c>
      <c r="H476" s="1" t="s">
        <v>23</v>
      </c>
      <c r="I476" s="1">
        <v>83187</v>
      </c>
      <c r="J476" t="str">
        <f t="shared" si="7"/>
        <v>August</v>
      </c>
    </row>
    <row r="477" spans="1:10" x14ac:dyDescent="0.25">
      <c r="A477" s="1">
        <v>1015</v>
      </c>
      <c r="B477" s="1" t="s">
        <v>13</v>
      </c>
      <c r="C477" s="1" t="s">
        <v>14</v>
      </c>
      <c r="D477" s="1" t="s">
        <v>21</v>
      </c>
      <c r="E477" s="2">
        <v>45267</v>
      </c>
      <c r="F477" s="1">
        <v>44</v>
      </c>
      <c r="G477" s="1">
        <v>29216</v>
      </c>
      <c r="H477" s="1" t="s">
        <v>23</v>
      </c>
      <c r="I477" s="1">
        <v>1285504</v>
      </c>
      <c r="J477" t="str">
        <f t="shared" si="7"/>
        <v>December</v>
      </c>
    </row>
    <row r="478" spans="1:10" x14ac:dyDescent="0.25">
      <c r="A478" s="1">
        <v>1035</v>
      </c>
      <c r="B478" s="1" t="s">
        <v>24</v>
      </c>
      <c r="C478" s="1" t="s">
        <v>10</v>
      </c>
      <c r="D478" s="1" t="s">
        <v>21</v>
      </c>
      <c r="E478" s="2">
        <v>45697</v>
      </c>
      <c r="F478" s="1">
        <v>17</v>
      </c>
      <c r="G478" s="1">
        <v>6928</v>
      </c>
      <c r="H478" s="1" t="s">
        <v>30</v>
      </c>
      <c r="I478" s="1">
        <v>117776</v>
      </c>
      <c r="J478" t="str">
        <f t="shared" si="7"/>
        <v>February</v>
      </c>
    </row>
    <row r="479" spans="1:10" x14ac:dyDescent="0.25">
      <c r="A479" s="1">
        <v>1041</v>
      </c>
      <c r="B479" s="1" t="s">
        <v>9</v>
      </c>
      <c r="C479" s="1" t="s">
        <v>10</v>
      </c>
      <c r="D479" s="1" t="s">
        <v>11</v>
      </c>
      <c r="E479" s="2">
        <v>45884</v>
      </c>
      <c r="F479" s="1">
        <v>48</v>
      </c>
      <c r="G479" s="1">
        <v>34300</v>
      </c>
      <c r="H479" s="1" t="s">
        <v>28</v>
      </c>
      <c r="I479" s="1">
        <v>1646400</v>
      </c>
      <c r="J479" t="str">
        <f t="shared" si="7"/>
        <v>August</v>
      </c>
    </row>
    <row r="480" spans="1:10" x14ac:dyDescent="0.25">
      <c r="A480" s="1">
        <v>1043</v>
      </c>
      <c r="B480" s="1" t="s">
        <v>22</v>
      </c>
      <c r="C480" s="1" t="s">
        <v>14</v>
      </c>
      <c r="D480" s="1" t="s">
        <v>21</v>
      </c>
      <c r="E480" s="2">
        <v>45745</v>
      </c>
      <c r="F480" s="1">
        <v>35</v>
      </c>
      <c r="G480" s="1">
        <v>18798</v>
      </c>
      <c r="H480" s="1" t="s">
        <v>28</v>
      </c>
      <c r="I480" s="1">
        <v>657930</v>
      </c>
      <c r="J480" t="str">
        <f t="shared" si="7"/>
        <v>March</v>
      </c>
    </row>
    <row r="481" spans="1:10" x14ac:dyDescent="0.25">
      <c r="A481" s="1">
        <v>1003</v>
      </c>
      <c r="B481" s="1" t="s">
        <v>13</v>
      </c>
      <c r="C481" s="1" t="s">
        <v>10</v>
      </c>
      <c r="D481" s="1" t="s">
        <v>15</v>
      </c>
      <c r="E481" s="2">
        <v>45716</v>
      </c>
      <c r="F481" s="1">
        <v>49</v>
      </c>
      <c r="G481" s="1">
        <v>30152</v>
      </c>
      <c r="H481" s="1" t="s">
        <v>30</v>
      </c>
      <c r="I481" s="1">
        <v>1477448</v>
      </c>
      <c r="J481" t="str">
        <f t="shared" si="7"/>
        <v>February</v>
      </c>
    </row>
    <row r="482" spans="1:10" x14ac:dyDescent="0.25">
      <c r="A482" s="1">
        <v>1015</v>
      </c>
      <c r="B482" s="1" t="s">
        <v>32</v>
      </c>
      <c r="C482" s="1" t="s">
        <v>10</v>
      </c>
      <c r="D482" s="1" t="s">
        <v>18</v>
      </c>
      <c r="E482" s="2">
        <v>45129</v>
      </c>
      <c r="F482" s="1">
        <v>33</v>
      </c>
      <c r="G482" s="1">
        <v>49994</v>
      </c>
      <c r="H482" s="1" t="s">
        <v>23</v>
      </c>
      <c r="I482" s="1">
        <v>1649802</v>
      </c>
      <c r="J482" t="str">
        <f t="shared" si="7"/>
        <v>July</v>
      </c>
    </row>
    <row r="483" spans="1:10" x14ac:dyDescent="0.25">
      <c r="A483" s="1">
        <v>1005</v>
      </c>
      <c r="B483" s="1" t="s">
        <v>25</v>
      </c>
      <c r="C483" s="1" t="s">
        <v>10</v>
      </c>
      <c r="D483" s="1" t="s">
        <v>21</v>
      </c>
      <c r="E483" s="2">
        <v>45359</v>
      </c>
      <c r="F483" s="1">
        <v>37</v>
      </c>
      <c r="G483" s="1">
        <v>1913</v>
      </c>
      <c r="H483" s="1" t="s">
        <v>26</v>
      </c>
      <c r="I483" s="1">
        <v>70781</v>
      </c>
      <c r="J483" t="str">
        <f t="shared" si="7"/>
        <v>March</v>
      </c>
    </row>
    <row r="484" spans="1:10" x14ac:dyDescent="0.25">
      <c r="A484" s="1">
        <v>1028</v>
      </c>
      <c r="B484" s="1" t="s">
        <v>32</v>
      </c>
      <c r="C484" s="1" t="s">
        <v>10</v>
      </c>
      <c r="D484" s="1" t="s">
        <v>18</v>
      </c>
      <c r="E484" s="2">
        <v>45262</v>
      </c>
      <c r="F484" s="1">
        <v>33</v>
      </c>
      <c r="G484" s="1">
        <v>18331</v>
      </c>
      <c r="H484" s="1" t="s">
        <v>28</v>
      </c>
      <c r="I484" s="1">
        <v>604923</v>
      </c>
      <c r="J484" t="str">
        <f t="shared" si="7"/>
        <v>December</v>
      </c>
    </row>
    <row r="485" spans="1:10" x14ac:dyDescent="0.25">
      <c r="A485" s="1">
        <v>1040</v>
      </c>
      <c r="B485" s="1" t="s">
        <v>27</v>
      </c>
      <c r="C485" s="1" t="s">
        <v>14</v>
      </c>
      <c r="D485" s="1" t="s">
        <v>15</v>
      </c>
      <c r="E485" s="2">
        <v>45682</v>
      </c>
      <c r="F485" s="1">
        <v>48</v>
      </c>
      <c r="G485" s="1">
        <v>39393</v>
      </c>
      <c r="H485" s="1" t="s">
        <v>19</v>
      </c>
      <c r="I485" s="1">
        <v>1890864</v>
      </c>
      <c r="J485" t="str">
        <f t="shared" si="7"/>
        <v>January</v>
      </c>
    </row>
    <row r="486" spans="1:10" x14ac:dyDescent="0.25">
      <c r="A486" s="1">
        <v>1010</v>
      </c>
      <c r="B486" s="1" t="s">
        <v>17</v>
      </c>
      <c r="C486" s="1" t="s">
        <v>14</v>
      </c>
      <c r="D486" s="1" t="s">
        <v>15</v>
      </c>
      <c r="E486" s="2">
        <v>45617</v>
      </c>
      <c r="F486" s="1">
        <v>23</v>
      </c>
      <c r="G486" s="1">
        <v>32958</v>
      </c>
      <c r="H486" s="1" t="s">
        <v>16</v>
      </c>
      <c r="I486" s="1">
        <v>758034</v>
      </c>
      <c r="J486" t="str">
        <f t="shared" si="7"/>
        <v>November</v>
      </c>
    </row>
    <row r="487" spans="1:10" x14ac:dyDescent="0.25">
      <c r="A487" s="1">
        <v>1046</v>
      </c>
      <c r="B487" s="1" t="s">
        <v>22</v>
      </c>
      <c r="C487" s="1" t="s">
        <v>14</v>
      </c>
      <c r="D487" s="1" t="s">
        <v>15</v>
      </c>
      <c r="E487" s="2">
        <v>45466</v>
      </c>
      <c r="F487" s="1">
        <v>28</v>
      </c>
      <c r="G487" s="1">
        <v>640</v>
      </c>
      <c r="H487" s="1" t="s">
        <v>30</v>
      </c>
      <c r="I487" s="1">
        <v>17920</v>
      </c>
      <c r="J487" t="str">
        <f t="shared" si="7"/>
        <v>June</v>
      </c>
    </row>
    <row r="488" spans="1:10" x14ac:dyDescent="0.25">
      <c r="A488" s="1">
        <v>1022</v>
      </c>
      <c r="B488" s="1" t="s">
        <v>22</v>
      </c>
      <c r="C488" s="1" t="s">
        <v>14</v>
      </c>
      <c r="D488" s="1" t="s">
        <v>15</v>
      </c>
      <c r="E488" s="2">
        <v>45800</v>
      </c>
      <c r="F488" s="1">
        <v>17</v>
      </c>
      <c r="G488" s="1">
        <v>1819</v>
      </c>
      <c r="H488" s="1" t="s">
        <v>16</v>
      </c>
      <c r="I488" s="1">
        <v>30923</v>
      </c>
      <c r="J488" t="str">
        <f t="shared" si="7"/>
        <v>May</v>
      </c>
    </row>
    <row r="489" spans="1:10" x14ac:dyDescent="0.25">
      <c r="A489" s="1">
        <v>1003</v>
      </c>
      <c r="B489" s="1" t="s">
        <v>22</v>
      </c>
      <c r="C489" s="1" t="s">
        <v>14</v>
      </c>
      <c r="D489" s="1" t="s">
        <v>18</v>
      </c>
      <c r="E489" s="2">
        <v>45796</v>
      </c>
      <c r="F489" s="1">
        <v>12</v>
      </c>
      <c r="G489" s="1">
        <v>38930</v>
      </c>
      <c r="H489" s="1" t="s">
        <v>30</v>
      </c>
      <c r="I489" s="1">
        <v>467160</v>
      </c>
      <c r="J489" t="str">
        <f t="shared" si="7"/>
        <v>May</v>
      </c>
    </row>
    <row r="490" spans="1:10" x14ac:dyDescent="0.25">
      <c r="A490" s="1">
        <v>1039</v>
      </c>
      <c r="B490" s="1" t="s">
        <v>9</v>
      </c>
      <c r="C490" s="1" t="s">
        <v>14</v>
      </c>
      <c r="D490" s="1" t="s">
        <v>21</v>
      </c>
      <c r="E490" s="2">
        <v>45636</v>
      </c>
      <c r="F490" s="1">
        <v>9</v>
      </c>
      <c r="G490" s="1">
        <v>48057</v>
      </c>
      <c r="H490" s="1" t="s">
        <v>30</v>
      </c>
      <c r="I490" s="1">
        <v>432513</v>
      </c>
      <c r="J490" t="str">
        <f t="shared" si="7"/>
        <v>December</v>
      </c>
    </row>
    <row r="491" spans="1:10" x14ac:dyDescent="0.25">
      <c r="A491" s="1">
        <v>1038</v>
      </c>
      <c r="B491" s="1" t="s">
        <v>22</v>
      </c>
      <c r="C491" s="1" t="s">
        <v>10</v>
      </c>
      <c r="D491" s="1" t="s">
        <v>11</v>
      </c>
      <c r="E491" s="2">
        <v>45147</v>
      </c>
      <c r="F491" s="1">
        <v>9</v>
      </c>
      <c r="G491" s="1">
        <v>34350</v>
      </c>
      <c r="H491" s="1" t="s">
        <v>16</v>
      </c>
      <c r="I491" s="1">
        <v>309150</v>
      </c>
      <c r="J491" t="str">
        <f t="shared" si="7"/>
        <v>August</v>
      </c>
    </row>
    <row r="492" spans="1:10" x14ac:dyDescent="0.25">
      <c r="A492" s="1">
        <v>1036</v>
      </c>
      <c r="B492" s="1" t="s">
        <v>13</v>
      </c>
      <c r="C492" s="1" t="s">
        <v>10</v>
      </c>
      <c r="D492" s="1" t="s">
        <v>21</v>
      </c>
      <c r="E492" s="2">
        <v>45423</v>
      </c>
      <c r="F492" s="1">
        <v>11</v>
      </c>
      <c r="G492" s="1">
        <v>21909</v>
      </c>
      <c r="H492" s="1" t="s">
        <v>26</v>
      </c>
      <c r="I492" s="1">
        <v>240999</v>
      </c>
      <c r="J492" t="str">
        <f t="shared" si="7"/>
        <v>May</v>
      </c>
    </row>
    <row r="493" spans="1:10" x14ac:dyDescent="0.25">
      <c r="A493" s="1">
        <v>1044</v>
      </c>
      <c r="B493" s="1" t="s">
        <v>27</v>
      </c>
      <c r="C493" s="1" t="s">
        <v>10</v>
      </c>
      <c r="D493" s="1" t="s">
        <v>21</v>
      </c>
      <c r="E493" s="2">
        <v>45896</v>
      </c>
      <c r="F493" s="1">
        <v>30</v>
      </c>
      <c r="G493" s="1">
        <v>17937</v>
      </c>
      <c r="H493" s="1" t="s">
        <v>12</v>
      </c>
      <c r="I493" s="1">
        <v>538110</v>
      </c>
      <c r="J493" t="str">
        <f t="shared" si="7"/>
        <v>August</v>
      </c>
    </row>
    <row r="494" spans="1:10" x14ac:dyDescent="0.25">
      <c r="A494" s="1">
        <v>1002</v>
      </c>
      <c r="B494" s="1" t="s">
        <v>20</v>
      </c>
      <c r="C494" s="1" t="s">
        <v>10</v>
      </c>
      <c r="D494" s="1" t="s">
        <v>18</v>
      </c>
      <c r="E494" s="2">
        <v>45357</v>
      </c>
      <c r="F494" s="1">
        <v>18</v>
      </c>
      <c r="G494" s="1">
        <v>1824</v>
      </c>
      <c r="H494" s="1" t="s">
        <v>16</v>
      </c>
      <c r="I494" s="1">
        <v>32832</v>
      </c>
      <c r="J494" t="str">
        <f t="shared" si="7"/>
        <v>March</v>
      </c>
    </row>
    <row r="495" spans="1:10" x14ac:dyDescent="0.25">
      <c r="A495" s="1">
        <v>1025</v>
      </c>
      <c r="B495" s="1" t="s">
        <v>27</v>
      </c>
      <c r="C495" s="1" t="s">
        <v>10</v>
      </c>
      <c r="D495" s="1" t="s">
        <v>21</v>
      </c>
      <c r="E495" s="2">
        <v>45292</v>
      </c>
      <c r="F495" s="1">
        <v>48</v>
      </c>
      <c r="G495" s="1">
        <v>29220</v>
      </c>
      <c r="H495" s="1" t="s">
        <v>23</v>
      </c>
      <c r="I495" s="1">
        <v>1402560</v>
      </c>
      <c r="J495" t="str">
        <f t="shared" si="7"/>
        <v>January</v>
      </c>
    </row>
    <row r="496" spans="1:10" x14ac:dyDescent="0.25">
      <c r="A496" s="1">
        <v>1038</v>
      </c>
      <c r="B496" s="1" t="s">
        <v>22</v>
      </c>
      <c r="C496" s="1" t="s">
        <v>14</v>
      </c>
      <c r="D496" s="1" t="s">
        <v>15</v>
      </c>
      <c r="E496" s="2">
        <v>46014</v>
      </c>
      <c r="F496" s="1">
        <v>17</v>
      </c>
      <c r="G496" s="1">
        <v>2610</v>
      </c>
      <c r="H496" s="1" t="s">
        <v>19</v>
      </c>
      <c r="I496" s="1">
        <v>44370</v>
      </c>
      <c r="J496" t="str">
        <f t="shared" si="7"/>
        <v>December</v>
      </c>
    </row>
    <row r="497" spans="1:10" x14ac:dyDescent="0.25">
      <c r="A497" s="1">
        <v>1030</v>
      </c>
      <c r="B497" s="1" t="s">
        <v>17</v>
      </c>
      <c r="C497" s="1" t="s">
        <v>14</v>
      </c>
      <c r="D497" s="1" t="s">
        <v>18</v>
      </c>
      <c r="E497" s="2">
        <v>45211</v>
      </c>
      <c r="F497" s="1">
        <v>18</v>
      </c>
      <c r="G497" s="1">
        <v>25791</v>
      </c>
      <c r="H497" s="1" t="s">
        <v>26</v>
      </c>
      <c r="I497" s="1">
        <v>464238</v>
      </c>
      <c r="J497" t="str">
        <f t="shared" si="7"/>
        <v>October</v>
      </c>
    </row>
    <row r="498" spans="1:10" x14ac:dyDescent="0.25">
      <c r="A498" s="1">
        <v>1006</v>
      </c>
      <c r="B498" s="1" t="s">
        <v>25</v>
      </c>
      <c r="C498" s="1" t="s">
        <v>14</v>
      </c>
      <c r="D498" s="1" t="s">
        <v>11</v>
      </c>
      <c r="E498" s="2">
        <v>45869</v>
      </c>
      <c r="F498" s="1">
        <v>47</v>
      </c>
      <c r="G498" s="1">
        <v>47422</v>
      </c>
      <c r="H498" s="1" t="s">
        <v>30</v>
      </c>
      <c r="I498" s="1">
        <v>2228834</v>
      </c>
      <c r="J498" t="str">
        <f t="shared" si="7"/>
        <v>July</v>
      </c>
    </row>
    <row r="499" spans="1:10" x14ac:dyDescent="0.25">
      <c r="A499" s="1">
        <v>1015</v>
      </c>
      <c r="B499" s="1" t="s">
        <v>22</v>
      </c>
      <c r="C499" s="1" t="s">
        <v>10</v>
      </c>
      <c r="D499" s="1" t="s">
        <v>18</v>
      </c>
      <c r="E499" s="2">
        <v>45937</v>
      </c>
      <c r="F499" s="1">
        <v>37</v>
      </c>
      <c r="G499" s="1">
        <v>31472</v>
      </c>
      <c r="H499" s="1" t="s">
        <v>28</v>
      </c>
      <c r="I499" s="1">
        <v>1164464</v>
      </c>
      <c r="J499" t="str">
        <f t="shared" si="7"/>
        <v>October</v>
      </c>
    </row>
    <row r="500" spans="1:10" x14ac:dyDescent="0.25">
      <c r="A500" s="1">
        <v>1021</v>
      </c>
      <c r="B500" s="1" t="s">
        <v>25</v>
      </c>
      <c r="C500" s="1" t="s">
        <v>14</v>
      </c>
      <c r="D500" s="1" t="s">
        <v>18</v>
      </c>
      <c r="E500" s="2">
        <v>45453</v>
      </c>
      <c r="F500" s="1">
        <v>14</v>
      </c>
      <c r="G500" s="1">
        <v>22905</v>
      </c>
      <c r="H500" s="1" t="s">
        <v>16</v>
      </c>
      <c r="I500" s="1">
        <v>320670</v>
      </c>
      <c r="J500" t="str">
        <f t="shared" si="7"/>
        <v>June</v>
      </c>
    </row>
    <row r="501" spans="1:10" x14ac:dyDescent="0.25">
      <c r="A501" s="1">
        <v>1020</v>
      </c>
      <c r="B501" s="1" t="s">
        <v>17</v>
      </c>
      <c r="C501" s="1" t="s">
        <v>14</v>
      </c>
      <c r="D501" s="1" t="s">
        <v>11</v>
      </c>
      <c r="E501" s="2">
        <v>45092</v>
      </c>
      <c r="F501" s="1">
        <v>15</v>
      </c>
      <c r="G501" s="1">
        <v>38130</v>
      </c>
      <c r="H501" s="1" t="s">
        <v>16</v>
      </c>
      <c r="I501" s="1">
        <v>571950</v>
      </c>
      <c r="J501" t="str">
        <f t="shared" si="7"/>
        <v>June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</vt:lpstr>
      <vt:lpstr>Q2</vt:lpstr>
      <vt:lpstr>Q3</vt:lpstr>
      <vt:lpstr>Q4</vt:lpstr>
      <vt:lpstr>Q5</vt:lpstr>
      <vt:lpstr>Q6-Q9</vt:lpstr>
      <vt:lpstr>Sales_dates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Harshita Pandey</cp:lastModifiedBy>
  <dcterms:created xsi:type="dcterms:W3CDTF">2026-01-05T09:07:55Z</dcterms:created>
  <dcterms:modified xsi:type="dcterms:W3CDTF">2026-01-05T09:07:55Z</dcterms:modified>
</cp:coreProperties>
</file>